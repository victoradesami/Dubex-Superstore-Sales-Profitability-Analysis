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9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3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1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Ex4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tor\Downloads\TASK\Github\"/>
    </mc:Choice>
  </mc:AlternateContent>
  <xr:revisionPtr revIDLastSave="0" documentId="13_ncr:1_{3F5D85BA-DCE5-4C03-86F2-5D9B50ADEF4D}" xr6:coauthVersionLast="47" xr6:coauthVersionMax="47" xr10:uidLastSave="{00000000-0000-0000-0000-000000000000}"/>
  <bookViews>
    <workbookView xWindow="-110" yWindow="-110" windowWidth="19420" windowHeight="10300" firstSheet="13" activeTab="15" xr2:uid="{00000000-000D-0000-FFFF-FFFF00000000}"/>
  </bookViews>
  <sheets>
    <sheet name="Task" sheetId="15" r:id="rId1"/>
    <sheet name="Before" sheetId="38" r:id="rId2"/>
    <sheet name="After" sheetId="17" r:id="rId3"/>
    <sheet name="Pre Analysis Board" sheetId="18" r:id="rId4"/>
    <sheet name="In Analysis Board" sheetId="19" r:id="rId5"/>
    <sheet name="Sales trend report" sheetId="21" r:id="rId6"/>
    <sheet name="Sales by Rep" sheetId="26" r:id="rId7"/>
    <sheet name="Sales by Region" sheetId="27" r:id="rId8"/>
    <sheet name="Sales by product categories" sheetId="28" r:id="rId9"/>
    <sheet name="Top 5 cities by revenue" sheetId="30" r:id="rId10"/>
    <sheet name="Transaction by amount" sheetId="34" r:id="rId11"/>
    <sheet name="State Performance" sheetId="31" r:id="rId12"/>
    <sheet name="Top 10 customers" sheetId="24" r:id="rId13"/>
    <sheet name="Top 6 Ship cities by revenue" sheetId="29" r:id="rId14"/>
    <sheet name="Most used payment method" sheetId="37" r:id="rId15"/>
    <sheet name="Dash Board" sheetId="35" r:id="rId16"/>
    <sheet name="Post analysis " sheetId="36" r:id="rId17"/>
    <sheet name="Pivot Table Diagram" sheetId="4" r:id="rId18"/>
  </sheets>
  <definedNames>
    <definedName name="_xlnm._FilterDatabase" localSheetId="2" hidden="1">After!$A$2:$Z$371</definedName>
    <definedName name="_xlnm._FilterDatabase" localSheetId="1" hidden="1">Before!$A$1:$Z$370</definedName>
    <definedName name="_xlchart.v1.11" hidden="1">'Top 6 Ship cities by revenue'!$D$4:$D$9</definedName>
    <definedName name="_xlchart.v1.12" hidden="1">'Top 6 Ship cities by revenue'!$E$3</definedName>
    <definedName name="_xlchart.v1.13" hidden="1">'Top 6 Ship cities by revenue'!$E$4:$E$9</definedName>
    <definedName name="_xlchart.v1.4" hidden="1">'Top 6 Ship cities by revenue'!$D$4:$D$9</definedName>
    <definedName name="_xlchart.v1.5" hidden="1">'Top 6 Ship cities by revenue'!$E$3</definedName>
    <definedName name="_xlchart.v1.6" hidden="1">'Top 6 Ship cities by revenue'!$E$4:$E$9</definedName>
    <definedName name="_xlchart.v5.0" hidden="1">'State Performance'!$D$8</definedName>
    <definedName name="_xlchart.v5.1" hidden="1">'State Performance'!$D$9:$D$20</definedName>
    <definedName name="_xlchart.v5.10" hidden="1">'State Performance'!$E$9:$E$20</definedName>
    <definedName name="_xlchart.v5.2" hidden="1">'State Performance'!$E$8</definedName>
    <definedName name="_xlchart.v5.3" hidden="1">'State Performance'!$E$9:$E$20</definedName>
    <definedName name="_xlchart.v5.7" hidden="1">'State Performance'!$D$8</definedName>
    <definedName name="_xlchart.v5.8" hidden="1">'State Performance'!$D$9:$D$20</definedName>
    <definedName name="_xlchart.v5.9" hidden="1">'State Performance'!$E$8</definedName>
  </definedNames>
  <calcPr calcId="191029"/>
  <pivotCaches>
    <pivotCache cacheId="3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<sst xmlns="http://schemas.openxmlformats.org/spreadsheetml/2006/main" count="11712" uniqueCount="193">
  <si>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</si>
  <si>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</si>
  <si>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</si>
  <si>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</si>
  <si>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</si>
  <si>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</si>
  <si>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</si>
  <si>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</si>
  <si>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</si>
  <si>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</si>
  <si>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</si>
  <si>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</si>
  <si>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</si>
  <si>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</si>
  <si>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</si>
  <si>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</si>
  <si>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</si>
  <si>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</si>
  <si>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</si>
  <si>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</si>
  <si>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</si>
  <si>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</si>
  <si>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</si>
  <si>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</si>
  <si>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</si>
  <si>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</si>
  <si>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</si>
  <si>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</si>
  <si>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</si>
  <si>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</si>
  <si>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</si>
  <si>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</si>
  <si>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</si>
  <si>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</si>
  <si>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</si>
  <si>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</si>
  <si>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</si>
  <si>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</si>
  <si>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</si>
  <si>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</si>
  <si>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</si>
  <si>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</si>
  <si>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</si>
  <si>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</si>
  <si>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</si>
  <si>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</si>
  <si>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</si>
  <si>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</si>
  <si>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</si>
  <si>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</si>
  <si>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</si>
  <si>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</si>
  <si>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</si>
  <si>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</si>
  <si>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</si>
  <si>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</si>
  <si>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</si>
  <si>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</si>
  <si>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</si>
  <si>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</si>
  <si>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</si>
  <si>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</si>
  <si>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</si>
  <si>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</si>
  <si>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</si>
  <si>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</si>
  <si>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</si>
  <si>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</si>
  <si>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</si>
  <si>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</si>
  <si>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</si>
  <si>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</si>
  <si>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</si>
  <si>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</si>
  <si>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</si>
  <si>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</si>
  <si>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</si>
  <si>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</si>
  <si>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</si>
  <si>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</si>
  <si>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</si>
  <si>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</si>
  <si>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</si>
  <si>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</si>
  <si>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</si>
  <si>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</si>
  <si>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</si>
  <si>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</si>
  <si>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</si>
  <si>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</si>
  <si>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</si>
  <si>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</si>
  <si>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</si>
  <si>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</si>
  <si>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</si>
  <si>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</si>
  <si>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</si>
  <si>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</si>
  <si>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</si>
  <si>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</si>
  <si>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</si>
  <si>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</si>
  <si>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</si>
  <si>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</si>
  <si>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</si>
  <si>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</si>
  <si>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</si>
  <si>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</si>
  <si>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</si>
  <si>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</si>
  <si>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</si>
  <si>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</si>
  <si>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</si>
  <si>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</si>
  <si>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</si>
  <si>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</si>
  <si>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</si>
  <si>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</si>
  <si>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</si>
  <si>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</si>
  <si>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</si>
  <si>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</si>
  <si>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</si>
  <si>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</si>
  <si>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</si>
  <si>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</si>
  <si>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</si>
  <si>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</si>
  <si>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</si>
  <si>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</si>
  <si>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</si>
  <si>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</si>
  <si>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</si>
  <si>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</si>
  <si>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</si>
  <si>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</si>
  <si>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</si>
  <si>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</si>
  <si>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</si>
  <si>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</si>
  <si>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</si>
  <si>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</si>
  <si>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</si>
  <si>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</si>
  <si>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</si>
  <si>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</si>
  <si>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</si>
  <si>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</si>
  <si>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</si>
  <si>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</si>
  <si>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</si>
  <si>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</si>
  <si>
    <t>Source:</t>
  </si>
  <si>
    <t>Article:</t>
  </si>
  <si>
    <t>How Do Pivot Tables Work?</t>
  </si>
  <si>
    <t>http://www.excelcampus.com/pivot-tables/pivot-tables-work/</t>
  </si>
  <si>
    <t>Sales trend report</t>
  </si>
  <si>
    <t>Top 10 customers</t>
  </si>
  <si>
    <t>Sales by Rep</t>
  </si>
  <si>
    <t>Sales by Region</t>
  </si>
  <si>
    <t>Transaction by Amount.</t>
  </si>
  <si>
    <t>DATA ANALYST TASK LIST</t>
  </si>
  <si>
    <t>Analyze the sales data for 2014 and provide report for capturing the items listed below. An excellent report would aid management make strategic decisions for the coming year.</t>
  </si>
  <si>
    <t xml:space="preserve">Shipping Fee </t>
  </si>
  <si>
    <t xml:space="preserve">Sales By Product category </t>
  </si>
  <si>
    <t xml:space="preserve">Top 6 ship cities by revenue </t>
  </si>
  <si>
    <t xml:space="preserve">Top 5 cities By revenue </t>
  </si>
  <si>
    <t>Sum of Revenue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</si>
  <si>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</si>
  <si>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</si>
  <si>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</si>
  <si>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</si>
  <si>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</si>
  <si>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</si>
  <si>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</si>
  <si>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</si>
  <si>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</si>
  <si>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</si>
  <si>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</si>
  <si>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</si>
  <si>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</si>
  <si>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</si>
  <si>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State performance </t>
  </si>
  <si>
    <t>0-1000</t>
  </si>
  <si>
    <t>Count of Revenue</t>
  </si>
  <si>
    <t>1000-2000</t>
  </si>
  <si>
    <t>2000-3000</t>
  </si>
  <si>
    <t>3000-4000</t>
  </si>
  <si>
    <t>4000-5000</t>
  </si>
  <si>
    <t>6000-7000</t>
  </si>
  <si>
    <t>7000-8000</t>
  </si>
  <si>
    <t>Dubex Store Sales Record</t>
  </si>
  <si>
    <t>Count of 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</si>
</sst>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5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0" fontId="18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10" defaultTableStyle="TableStyleMedium2" defaultPivotStyle="PivotStyleLight16">
    <tableStyle name="Slicer Style 1" pivot="0" table="0" count="1" xr9:uid="{AA411F32-5C4E-425D-9D6A-72A9BD397AE1}"/>
    <tableStyle name="Slicer Style 2" pivot="0" table="0" count="1" xr9:uid="{B969D98C-E17F-4ACC-BAD9-EEED906D6B66}"/>
    <tableStyle name="Slicer Style 3" pivot="0" table="0" count="1" xr9:uid="{350B7BCF-9C01-4F8D-AC52-4607D5486EF0}"/>
    <tableStyle name="Slicer Style 4" pivot="0" table="0" count="1" xr9:uid="{BC755A15-A1AE-4F80-B713-F9800B5A6A9E}"/>
    <tableStyle name="Slicer Style 5" pivot="0" table="0" count="1" xr9:uid="{5B618E31-ABF1-4FD7-8E06-C313EB834011}"/>
    <tableStyle name="Slicer Style 6" pivot="0" table="0" count="1" xr9:uid="{6DA08882-1360-4E04-BA74-EF4AB6C9FE90}"/>
    <tableStyle name="Slicer Style 7" pivot="0" table="0" count="1" xr9:uid="{9A24B97E-00A0-4EE7-B842-08F51F9B16FD}"/>
    <tableStyle name="Slicer Style 8" pivot="0" table="0" count="1" xr9:uid="{A9F2EF7F-C58D-46EE-A054-63522DED4E2E}"/>
    <tableStyle name="Slicer Style 9" pivot="0" table="0" count="1" xr9:uid="{5C66AAF9-735B-4DD8-B0BE-75DA4C0F092C}"/>
    <tableStyle name="SlicerStyleLight1 2" pivot="0" table="0" count="10" xr9:uid="{BE7E0DCA-ED48-45D8-9E76-1C8CCBFD9E73}">
      <tableStyleElement type="wholeTable" dxfId="3"/>
      <tableStyleElement type="headerRow" dxfId="2"/>
    </tableStyle>
  </tableStyles>
  <extLst>
    <ext xmlns:x14="http://schemas.microsoft.com/office/spreadsheetml/2009/9/main" uri="{46F421CA-312F-682f-3DD2-61675219B42D}">
      <x14:dxfs count="17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</dxf>
        <dxf>
          <border diagonalUp="0" diagonalDown="0">
            <left/>
            <right/>
            <top/>
            <bottom/>
            <vertical/>
            <horizontal/>
          </border>
        </dxf>
        <dxf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border diagonalUp="0" diagonalDown="0">
            <left/>
            <right/>
            <top/>
            <bottom/>
            <vertical/>
            <horizontal/>
          </border>
        </dxf>
        <dxf>
          <border diagonalUp="0" diagonalDown="0">
            <left/>
            <right/>
            <top/>
            <bottom/>
            <vertical/>
            <horizontal/>
          </border>
        </dxf>
        <dxf>
          <border diagonalUp="0" diagonalDown="0">
            <left/>
            <right/>
            <top/>
            <bottom/>
            <vertical/>
            <horizontal/>
          </border>
        </dxf>
        <dxf>
          <border diagonalUp="0" diagonalDown="0">
            <left/>
            <right/>
            <top/>
            <bottom/>
            <vertical/>
            <horizontal/>
          </border>
        </dxf>
        <dxf>
          <border diagonalUp="0" diagonalDown="0">
            <left/>
            <right/>
            <top/>
            <bottom/>
            <vertical/>
            <horizontal/>
          </border>
        </dxf>
        <dxf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selectedItemWithNoData" dxfId="16"/>
          </x14:slicerStyleElements>
        </x14:slicerStyle>
        <x14:slicerStyle name="Slicer Style 2">
          <x14:slicerStyleElements>
            <x14:slicerStyleElement type="unselectedItemWithData" dxfId="15"/>
          </x14:slicerStyleElements>
        </x14:slicerStyle>
        <x14:slicerStyle name="Slicer Style 3">
          <x14:slicerStyleElements>
            <x14:slicerStyleElement type="selectedItemWithData" dxfId="14"/>
          </x14:slicerStyleElements>
        </x14:slicerStyle>
        <x14:slicerStyle name="Slicer Style 4">
          <x14:slicerStyleElements>
            <x14:slicerStyleElement type="selectedItemWithData" dxfId="13"/>
          </x14:slicerStyleElements>
        </x14:slicerStyle>
        <x14:slicerStyle name="Slicer Style 5">
          <x14:slicerStyleElements>
            <x14:slicerStyleElement type="selectedItemWithData" dxfId="12"/>
          </x14:slicerStyleElements>
        </x14:slicerStyle>
        <x14:slicerStyle name="Slicer Style 6">
          <x14:slicerStyleElements>
            <x14:slicerStyleElement type="unselectedItemWithData" dxfId="11"/>
          </x14:slicerStyleElements>
        </x14:slicerStyle>
        <x14:slicerStyle name="Slicer Style 7">
          <x14:slicerStyleElements>
            <x14:slicerStyleElement type="selectedItemWithData" dxfId="10"/>
          </x14:slicerStyleElements>
        </x14:slicerStyle>
        <x14:slicerStyle name="Slicer Style 8">
          <x14:slicerStyleElements>
            <x14:slicerStyleElement type="unselectedItemWithData" dxfId="9"/>
          </x14:slicerStyleElements>
        </x14:slicerStyle>
        <x14:slicerStyle name="Slicer Style 9">
          <x14:slicerStyleElements>
            <x14:slicerStyleElement type="selectedItemWithData" dxfId="8"/>
          </x14:slicerStyleElements>
        </x14:slicerStyle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0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[Dubex Superstore Sales Data.xlsx]Sales trend report!PivotTable1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'Sales trend report'!$B$3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trend report'!$A$4:$A$16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 report'!$B$4:$B$16</c:f>
              <c:numCache>
                <c:formatCode>General</c:formatCode>
                <c:ptCount val="12"/>
                <c:pt idx="0">
                  <c:v>32907.839999999997</c:v>
                </c:pt>
                <c:pt idx="1">
                  <c:v>19985.5</c:v>
                </c:pt>
                <c:pt idx="2">
                  <c:v>30852.6</c:v>
                </c:pt>
                <c:pt idx="3">
                  <c:v>20771.789999999997</c:v>
                </c:pt>
                <c:pt idx="4">
                  <c:v>34307.049999999996</c:v>
                </c:pt>
                <c:pt idx="5">
                  <c:v>55601.61</c:v>
                </c:pt>
                <c:pt idx="6">
                  <c:v>27318.539999999997</c:v>
                </c:pt>
                <c:pt idx="7">
                  <c:v>29921.459999999995</c:v>
                </c:pt>
                <c:pt idx="8">
                  <c:v>31949.97</c:v>
                </c:pt>
                <c:pt idx="9">
                  <c:v>53033.59</c:v>
                </c:pt>
                <c:pt idx="10">
                  <c:v>31773.429999999997</c:v>
                </c:pt>
                <c:pt idx="11">
                  <c:v>66642.78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2-4A6F-BD4B-1CC009F17BD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60919343"/>
        <c:axId val="460912271"/>
      </c:lineChart>
      <c:catAx>
        <c:axId val="46091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60912271"/>
        <c:crosses val="autoZero"/>
        <c:auto val="1"/>
        <c:lblAlgn val="ctr"/>
        <c:lblOffset val="100"/>
        <c:noMultiLvlLbl val="0"/>
      </c:catAx>
      <c:valAx>
        <c:axId val="460912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6091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[Dubex Superstore Sales Data.xlsx]Sales by Rep!PivotTable1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FDAF-46EC-95AB-9504BDBAF8D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8-FDAF-46EC-95AB-9504BDBAF8D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FDAF-46EC-95AB-9504BDBAF8D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FDAF-46EC-95AB-9504BDBAF8D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FDAF-46EC-95AB-9504BDBAF8DC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FDAF-46EC-95AB-9504BDBAF8DC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FDAF-46EC-95AB-9504BDBAF8DC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FDAF-46EC-95AB-9504BDBAF8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Rep'!$A$4:$A$12</c:f>
              <c:strCache>
                <c:ptCount val="8"/>
                <c:pt idx="0">
                  <c:v>Jan Kotas</c:v>
                </c:pt>
                <c:pt idx="1">
                  <c:v>Robert Zare</c:v>
                </c:pt>
                <c:pt idx="2">
                  <c:v>Michael Neipper</c:v>
                </c:pt>
                <c:pt idx="3">
                  <c:v>Laura Giussani</c:v>
                </c:pt>
                <c:pt idx="4">
                  <c:v>Mariya Sergienko</c:v>
                </c:pt>
                <c:pt idx="5">
                  <c:v>Andrew Cencini</c:v>
                </c:pt>
                <c:pt idx="6">
                  <c:v>Anne Larsen</c:v>
                </c:pt>
                <c:pt idx="7">
                  <c:v>Nancy Freehafer</c:v>
                </c:pt>
              </c:strCache>
            </c:strRef>
          </c:cat>
          <c:val>
            <c:numRef>
              <c:f>'Sales by Rep'!$B$4:$B$12</c:f>
              <c:numCache>
                <c:formatCode>_-[$$-409]* #,##0_ ;_-[$$-409]* \-#,##0\ ;_-[$$-409]* "-"??_ ;_-@_ </c:formatCode>
                <c:ptCount val="8"/>
                <c:pt idx="0">
                  <c:v>16350.5</c:v>
                </c:pt>
                <c:pt idx="1">
                  <c:v>32530.6</c:v>
                </c:pt>
                <c:pt idx="2">
                  <c:v>37428</c:v>
                </c:pt>
                <c:pt idx="3">
                  <c:v>41095.01</c:v>
                </c:pt>
                <c:pt idx="4">
                  <c:v>42370.880000000005</c:v>
                </c:pt>
                <c:pt idx="5">
                  <c:v>67180.5</c:v>
                </c:pt>
                <c:pt idx="6">
                  <c:v>93858.329999999987</c:v>
                </c:pt>
                <c:pt idx="7">
                  <c:v>104252.33999999997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F-46EC-95AB-9504BDBAF8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86942991"/>
        <c:axId val="1286921775"/>
      </c:barChart>
      <c:catAx>
        <c:axId val="1286942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86921775"/>
        <c:crosses val="autoZero"/>
        <c:auto val="1"/>
        <c:lblAlgn val="ctr"/>
        <c:lblOffset val="100"/>
        <c:noMultiLvlLbl val="0"/>
      </c:catAx>
      <c:valAx>
        <c:axId val="1286921775"/>
        <c:scaling>
          <c:orientation val="minMax"/>
        </c:scaling>
        <c:delete val="0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8694299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[Dubex Superstore Sales Data.xlsx]Sales by Region!PivotTable1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34-43DD-807B-6890D28819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34-43DD-807B-6890D28819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C34-43DD-807B-6890D28819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C34-43DD-807B-6890D28819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C34-43DD-807B-6890D28819B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C34-43DD-807B-6890D28819B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C34-43DD-807B-6890D28819B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C34-43DD-807B-6890D28819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Region'!$A$4:$A$8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'Sales by Region'!$B$4:$B$8</c:f>
              <c:numCache>
                <c:formatCode>0.00%</c:formatCode>
                <c:ptCount val="4"/>
                <c:pt idx="0">
                  <c:v>0.20974276647947063</c:v>
                </c:pt>
                <c:pt idx="1">
                  <c:v>0.21573346453789927</c:v>
                </c:pt>
                <c:pt idx="2">
                  <c:v>0.24887136705828836</c:v>
                </c:pt>
                <c:pt idx="3">
                  <c:v>0.32565240192434181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C34-43DD-807B-6890D28819B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[Dubex Superstore Sales Data.xlsx]Sales by product categories!PivotTable1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89E4F38-0E64-4E9D-96D2-845A57CCBD25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1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</c:pivotFmt>
      <c:pivotFmt>
        <c:idx val="23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89E4F38-0E64-4E9D-96D2-845A57CCBD25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</c:pivotFmt>
      <c:pivotFmt>
        <c:idx val="3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 categories'!$B$3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B0-481F-B3D3-E3DDA0471BB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D4B0-481F-B3D3-E3DDA0471BB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4B0-481F-B3D3-E3DDA0471BB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4B0-481F-B3D3-E3DDA0471BB1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D4B0-481F-B3D3-E3DDA0471B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product categories'!$A$4:$A$9</c:f>
              <c:strCache>
                <c:ptCount val="5"/>
                <c:pt idx="0">
                  <c:v>Beverages</c:v>
                </c:pt>
                <c:pt idx="1">
                  <c:v>Sauces</c:v>
                </c:pt>
                <c:pt idx="2">
                  <c:v>Jams, Preserves</c:v>
                </c:pt>
                <c:pt idx="3">
                  <c:v>Dairy Products</c:v>
                </c:pt>
                <c:pt idx="4">
                  <c:v>Dried Fruit &amp; Nuts</c:v>
                </c:pt>
              </c:strCache>
            </c:strRef>
          </c:cat>
          <c:val>
            <c:numRef>
              <c:f>'Sales by product categories'!$B$4:$B$9</c:f>
              <c:numCache>
                <c:formatCode>General</c:formatCode>
                <c:ptCount val="5"/>
                <c:pt idx="0">
                  <c:v>110577.10999999999</c:v>
                </c:pt>
                <c:pt idx="1">
                  <c:v>69000</c:v>
                </c:pt>
                <c:pt idx="2">
                  <c:v>51541</c:v>
                </c:pt>
                <c:pt idx="3">
                  <c:v>33129.600000000006</c:v>
                </c:pt>
                <c:pt idx="4">
                  <c:v>27999.5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4B0-481F-B3D3-E3DDA0471B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21735087"/>
        <c:axId val="821723023"/>
      </c:barChart>
      <c:catAx>
        <c:axId val="821735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21723023"/>
        <c:crosses val="autoZero"/>
        <c:auto val="1"/>
        <c:lblAlgn val="ctr"/>
        <c:lblOffset val="100"/>
        <c:noMultiLvlLbl val="0"/>
      </c:catAx>
      <c:valAx>
        <c:axId val="8217230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2173508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[Dubex Superstore Sales Data.xlsx]Top 5 cities by revenue!PivotTable2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City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267E-3"/>
              <c:y val="-0.328703703703703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111111111111162E-2"/>
              <c:y val="-0.328703703703703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dLbl>
          <c:idx val="0"/>
          <c:layout>
            <c:manualLayout>
              <c:x val="2.7777777777777267E-3"/>
              <c:y val="-0.328703703703703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'Top 5 cities by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3ED-4B3D-8F85-C6F3C522554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33ED-4B3D-8F85-C6F3C522554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33ED-4B3D-8F85-C6F3C5225542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4-33ED-4B3D-8F85-C6F3C5225542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5-33ED-4B3D-8F85-C6F3C5225542}"/>
              </c:ext>
            </c:extLst>
          </c:dPt>
          <c:dLbls>
            <c:dLbl>
              <c:idx val="0"/>
              <c:layout>
                <c:manualLayout>
                  <c:x val="2.7777777777777267E-3"/>
                  <c:y val="-0.328703703703703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ED-4B3D-8F85-C6F3C5225542}"/>
                </c:ext>
              </c:extLst>
            </c:dLbl>
            <c:dLbl>
              <c:idx val="1"/>
              <c:layout>
                <c:manualLayout>
                  <c:x val="-1.1111111111111162E-2"/>
                  <c:y val="-0.328703703703703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ED-4B3D-8F85-C6F3C52255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cities by revenue'!$A$4:$A$9</c:f>
              <c:strCache>
                <c:ptCount val="5"/>
                <c:pt idx="0">
                  <c:v>Chicago</c:v>
                </c:pt>
                <c:pt idx="1">
                  <c:v>Memphis</c:v>
                </c:pt>
                <c:pt idx="2">
                  <c:v>Miami</c:v>
                </c:pt>
                <c:pt idx="3">
                  <c:v>New York</c:v>
                </c:pt>
                <c:pt idx="4">
                  <c:v>Portland</c:v>
                </c:pt>
              </c:strCache>
            </c:strRef>
          </c:cat>
          <c:val>
            <c:numRef>
              <c:f>'Top 5 cities by revenue'!$B$4:$B$9</c:f>
              <c:numCache>
                <c:formatCode>General</c:formatCode>
                <c:ptCount val="5"/>
                <c:pt idx="0">
                  <c:v>41095.01</c:v>
                </c:pt>
                <c:pt idx="1">
                  <c:v>43713</c:v>
                </c:pt>
                <c:pt idx="2">
                  <c:v>50145.330000000009</c:v>
                </c:pt>
                <c:pt idx="3">
                  <c:v>67180.5</c:v>
                </c:pt>
                <c:pt idx="4">
                  <c:v>50208.35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D-4B3D-8F85-C6F3C5225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142368"/>
        <c:axId val="1080138208"/>
      </c:areaChart>
      <c:catAx>
        <c:axId val="108014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80138208"/>
        <c:crosses val="autoZero"/>
        <c:auto val="1"/>
        <c:lblAlgn val="ctr"/>
        <c:lblOffset val="100"/>
        <c:noMultiLvlLbl val="0"/>
      </c:catAx>
      <c:valAx>
        <c:axId val="1080138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8014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[Dubex Superstore Sales Data.xlsx]Transaction by amount!PivotTable3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 by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'Transaction by amount'!$B$3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27-4BE5-9596-8A5F0D3415D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027-4BE5-9596-8A5F0D3415D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4027-4BE5-9596-8A5F0D3415D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4027-4BE5-9596-8A5F0D3415D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4027-4BE5-9596-8A5F0D3415D1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4027-4BE5-9596-8A5F0D3415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'Transaction by amount'!$A$4:$A$11</c:f>
              <c:strCache>
                <c:ptCount val="7"/>
                <c:pt idx="0">
                  <c:v>0-1000</c:v>
                </c:pt>
                <c:pt idx="1">
                  <c:v>1000-2000</c:v>
                </c:pt>
                <c:pt idx="2">
                  <c:v>2000-3000</c:v>
                </c:pt>
                <c:pt idx="3">
                  <c:v>3000-4000</c:v>
                </c:pt>
                <c:pt idx="4">
                  <c:v>4000-5000</c:v>
                </c:pt>
                <c:pt idx="5">
                  <c:v>6000-7000</c:v>
                </c:pt>
                <c:pt idx="6">
                  <c:v>7000-8000</c:v>
                </c:pt>
              </c:strCache>
            </c:strRef>
          </c:cat>
          <c:val>
            <c:numRef>
              <c:f>'Transaction by amount'!$B$4:$B$11</c:f>
              <c:numCache>
                <c:formatCode>General</c:formatCode>
                <c:ptCount val="7"/>
                <c:pt idx="0">
                  <c:v>218</c:v>
                </c:pt>
                <c:pt idx="1">
                  <c:v>85</c:v>
                </c:pt>
                <c:pt idx="2">
                  <c:v>31</c:v>
                </c:pt>
                <c:pt idx="3">
                  <c:v>24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7-4BE5-9596-8A5F0D3415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6"/>
        <c:overlap val="-27"/>
        <c:axId val="469104480"/>
        <c:axId val="469109888"/>
      </c:barChart>
      <c:catAx>
        <c:axId val="46910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69109888"/>
        <c:crosses val="autoZero"/>
        <c:auto val="1"/>
        <c:lblAlgn val="ctr"/>
        <c:lblOffset val="100"/>
        <c:noMultiLvlLbl val="0"/>
      </c:catAx>
      <c:valAx>
        <c:axId val="4691098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6910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[Dubex Superstore Sales Data.xlsx]Top 10 customers!PivotTable2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Customer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'Top 10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'Top 10 customers'!$A$4:$A$14</c:f>
              <c:strCache>
                <c:ptCount val="10"/>
                <c:pt idx="0">
                  <c:v>Company K</c:v>
                </c:pt>
                <c:pt idx="1">
                  <c:v>Company C</c:v>
                </c:pt>
                <c:pt idx="2">
                  <c:v>Company Z</c:v>
                </c:pt>
                <c:pt idx="3">
                  <c:v>Company J</c:v>
                </c:pt>
                <c:pt idx="4">
                  <c:v>Company I</c:v>
                </c:pt>
                <c:pt idx="5">
                  <c:v>Company A</c:v>
                </c:pt>
                <c:pt idx="6">
                  <c:v>Company F</c:v>
                </c:pt>
                <c:pt idx="7">
                  <c:v>Company BB</c:v>
                </c:pt>
                <c:pt idx="8">
                  <c:v>Company H</c:v>
                </c:pt>
                <c:pt idx="9">
                  <c:v>Company D</c:v>
                </c:pt>
              </c:strCache>
            </c:strRef>
          </c:cat>
          <c:val>
            <c:numRef>
              <c:f>'Top 10 customers'!$B$4:$B$14</c:f>
              <c:numCache>
                <c:formatCode>General</c:formatCode>
                <c:ptCount val="10"/>
                <c:pt idx="0">
                  <c:v>21937.08</c:v>
                </c:pt>
                <c:pt idx="1">
                  <c:v>27005.38</c:v>
                </c:pt>
                <c:pt idx="2">
                  <c:v>28208.250000000007</c:v>
                </c:pt>
                <c:pt idx="3">
                  <c:v>29133.009999999995</c:v>
                </c:pt>
                <c:pt idx="4">
                  <c:v>32530.6</c:v>
                </c:pt>
                <c:pt idx="5">
                  <c:v>36839.990000000005</c:v>
                </c:pt>
                <c:pt idx="6">
                  <c:v>37428</c:v>
                </c:pt>
                <c:pt idx="7">
                  <c:v>43713</c:v>
                </c:pt>
                <c:pt idx="8">
                  <c:v>50208.35</c:v>
                </c:pt>
                <c:pt idx="9">
                  <c:v>67180.5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9-4C9E-919E-D1E9E25BF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909680"/>
        <c:axId val="1779925072"/>
      </c:radarChart>
      <c:catAx>
        <c:axId val="177990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79925072"/>
        <c:crosses val="autoZero"/>
        <c:auto val="1"/>
        <c:lblAlgn val="ctr"/>
        <c:lblOffset val="100"/>
        <c:noMultiLvlLbl val="0"/>
      </c:catAx>
      <c:valAx>
        <c:axId val="17799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7990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[Dubex Superstore Sales Data.xlsx]Top 6 Ship cities by revenue!PivotTable1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6 ship cities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'Top 6 Ship cities by revenue'!$B$3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D26-4F86-A7F9-8D88B6BCBB3A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D26-4F86-A7F9-8D88B6BCBB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D26-4F86-A7F9-8D88B6BCBB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D26-4F86-A7F9-8D88B6BCBB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5D26-4F86-A7F9-8D88B6BCBB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D26-4F86-A7F9-8D88B6BCBB3A}"/>
              </c:ext>
            </c:extLst>
          </c:dPt>
          <c:cat>
            <c:strRef>
              <c:f>'Top 6 Ship cities by revenue'!$A$4:$A$10</c:f>
              <c:strCache>
                <c:ptCount val="6"/>
                <c:pt idx="0">
                  <c:v>Milwaukee</c:v>
                </c:pt>
                <c:pt idx="1">
                  <c:v>Chicago</c:v>
                </c:pt>
                <c:pt idx="2">
                  <c:v>Memphis</c:v>
                </c:pt>
                <c:pt idx="3">
                  <c:v>Miami</c:v>
                </c:pt>
                <c:pt idx="4">
                  <c:v>Portland</c:v>
                </c:pt>
                <c:pt idx="5">
                  <c:v>New York</c:v>
                </c:pt>
              </c:strCache>
            </c:strRef>
          </c:cat>
          <c:val>
            <c:numRef>
              <c:f>'Top 6 Ship cities by revenue'!$B$4:$B$10</c:f>
              <c:numCache>
                <c:formatCode>General</c:formatCode>
                <c:ptCount val="6"/>
                <c:pt idx="0">
                  <c:v>37428</c:v>
                </c:pt>
                <c:pt idx="1">
                  <c:v>41095.01</c:v>
                </c:pt>
                <c:pt idx="2">
                  <c:v>43713</c:v>
                </c:pt>
                <c:pt idx="3">
                  <c:v>50145.330000000009</c:v>
                </c:pt>
                <c:pt idx="4">
                  <c:v>50208.35</c:v>
                </c:pt>
                <c:pt idx="5">
                  <c:v>67180.5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6-4F86-A7F9-8D88B6BCB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4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[Dubex Superstore Sales Data.xlsx]Most used payment method!PivotTable1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used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'Most used 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'Most used payment method'!$A$4:$A$7</c:f>
              <c:strCache>
                <c:ptCount val="3"/>
                <c:pt idx="0">
                  <c:v>Credit Card</c:v>
                </c:pt>
                <c:pt idx="1">
                  <c:v>Check</c:v>
                </c:pt>
                <c:pt idx="2">
                  <c:v>Cash</c:v>
                </c:pt>
              </c:strCache>
            </c:strRef>
          </c:cat>
          <c:val>
            <c:numRef>
              <c:f>'Most used payment method'!$B$4:$B$7</c:f>
              <c:numCache>
                <c:formatCode>General</c:formatCode>
                <c:ptCount val="3"/>
                <c:pt idx="0">
                  <c:v>132</c:v>
                </c:pt>
                <c:pt idx="1">
                  <c:v>101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2-4E0F-AE91-5D102F8CA8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"/>
        <c:overlap val="-27"/>
        <c:axId val="817350736"/>
        <c:axId val="817351216"/>
      </c:barChart>
      <c:catAx>
        <c:axId val="817350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17351216"/>
        <c:crosses val="autoZero"/>
        <c:auto val="1"/>
        <c:lblAlgn val="ctr"/>
        <c:lblOffset val="100"/>
        <c:noMultiLvlLbl val="0"/>
      </c:catAx>
      <c:valAx>
        <c:axId val="8173512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1735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[Dubex Superstore Sales Data.xlsx]Sales by Rep!PivotTable1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Performance</a:t>
            </a:r>
            <a:r>
              <a:rPr lang="en-US" baseline="0">
                <a:solidFill>
                  <a:sysClr val="windowText" lastClr="000000"/>
                </a:solidFill>
              </a:rPr>
              <a:t> by sales person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678585154039132"/>
          <c:y val="0.16394944002998083"/>
          <c:w val="0.77719248013093833"/>
          <c:h val="0.772091622002723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by Rep'!$B$3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AF-49FC-AFEA-7701A8CF8C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AF-49FC-AFEA-7701A8CF8C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AF-49FC-AFEA-7701A8CF8C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3AF-49FC-AFEA-7701A8CF8C2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3AF-49FC-AFEA-7701A8CF8C2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3AF-49FC-AFEA-7701A8CF8C2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3AF-49FC-AFEA-7701A8CF8C2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3AF-49FC-AFEA-7701A8CF8C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Rep'!$A$4:$A$12</c:f>
              <c:strCache>
                <c:ptCount val="8"/>
                <c:pt idx="0">
                  <c:v>Jan Kotas</c:v>
                </c:pt>
                <c:pt idx="1">
                  <c:v>Robert Zare</c:v>
                </c:pt>
                <c:pt idx="2">
                  <c:v>Michael Neipper</c:v>
                </c:pt>
                <c:pt idx="3">
                  <c:v>Laura Giussani</c:v>
                </c:pt>
                <c:pt idx="4">
                  <c:v>Mariya Sergienko</c:v>
                </c:pt>
                <c:pt idx="5">
                  <c:v>Andrew Cencini</c:v>
                </c:pt>
                <c:pt idx="6">
                  <c:v>Anne Larsen</c:v>
                </c:pt>
                <c:pt idx="7">
                  <c:v>Nancy Freehafer</c:v>
                </c:pt>
              </c:strCache>
            </c:strRef>
          </c:cat>
          <c:val>
            <c:numRef>
              <c:f>'Sales by Rep'!$B$4:$B$12</c:f>
              <c:numCache>
                <c:formatCode>_-[$$-409]* #,##0_ ;_-[$$-409]* \-#,##0\ ;_-[$$-409]* "-"??_ ;_-@_ </c:formatCode>
                <c:ptCount val="8"/>
                <c:pt idx="0">
                  <c:v>16350.5</c:v>
                </c:pt>
                <c:pt idx="1">
                  <c:v>32530.6</c:v>
                </c:pt>
                <c:pt idx="2">
                  <c:v>37428</c:v>
                </c:pt>
                <c:pt idx="3">
                  <c:v>41095.01</c:v>
                </c:pt>
                <c:pt idx="4">
                  <c:v>42370.880000000005</c:v>
                </c:pt>
                <c:pt idx="5">
                  <c:v>67180.5</c:v>
                </c:pt>
                <c:pt idx="6">
                  <c:v>93858.329999999987</c:v>
                </c:pt>
                <c:pt idx="7">
                  <c:v>104252.33999999997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3AF-49FC-AFEA-7701A8CF8C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86942991"/>
        <c:axId val="1286921775"/>
      </c:barChart>
      <c:catAx>
        <c:axId val="1286942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86921775"/>
        <c:crosses val="autoZero"/>
        <c:auto val="1"/>
        <c:lblAlgn val="ctr"/>
        <c:lblOffset val="100"/>
        <c:noMultiLvlLbl val="0"/>
      </c:catAx>
      <c:valAx>
        <c:axId val="1286921775"/>
        <c:scaling>
          <c:orientation val="minMax"/>
        </c:scaling>
        <c:delete val="1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crossAx val="128694299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[Dubex Superstore Sales Data.xlsx]Sales by Region!PivotTable1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700">
                <a:solidFill>
                  <a:sysClr val="windowText" lastClr="000000"/>
                </a:solidFill>
              </a:rPr>
              <a:t>Sales performance</a:t>
            </a:r>
            <a:r>
              <a:rPr lang="en-US" sz="1700" baseline="0">
                <a:solidFill>
                  <a:sysClr val="windowText" lastClr="000000"/>
                </a:solidFill>
              </a:rPr>
              <a:t> </a:t>
            </a:r>
            <a:r>
              <a:rPr lang="en-US" sz="1700">
                <a:solidFill>
                  <a:sysClr val="windowText" lastClr="000000"/>
                </a:solidFill>
              </a:rPr>
              <a:t>by Region</a:t>
            </a:r>
          </a:p>
        </c:rich>
      </c:tx>
      <c:layout>
        <c:manualLayout>
          <c:xMode val="edge"/>
          <c:yMode val="edge"/>
          <c:x val="0.13074808814365826"/>
          <c:y val="3.9092499934589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89E4F38-0E64-4E9D-96D2-845A57CCBD25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89E4F38-0E64-4E9D-96D2-845A57CCBD25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89E4F38-0E64-4E9D-96D2-845A57CCBD25}" type="VALUE">
                  <a:rPr lang="en-US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[VALUE]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188875722681753"/>
          <c:y val="0.17797973695032185"/>
          <c:w val="0.5683257051821613"/>
          <c:h val="0.78444946902541035"/>
        </c:manualLayout>
      </c:layout>
      <c:pieChart>
        <c:varyColors val="1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ED-4779-884C-FEB1ADBC60D6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ED-4779-884C-FEB1ADBC60D6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BED-4779-884C-FEB1ADBC60D6}"/>
              </c:ext>
            </c:extLst>
          </c:dPt>
          <c:dPt>
            <c:idx val="3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BED-4779-884C-FEB1ADBC60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BED-4779-884C-FEB1ADBC60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BED-4779-884C-FEB1ADBC60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BED-4779-884C-FEB1ADBC60D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BED-4779-884C-FEB1ADBC60D6}"/>
              </c:ext>
            </c:extLst>
          </c:dPt>
          <c:dLbls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89E4F38-0E64-4E9D-96D2-845A57CCBD25}" type="VALU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NG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BED-4779-884C-FEB1ADBC60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Region'!$A$4:$A$8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'Sales by Region'!$B$4:$B$8</c:f>
              <c:numCache>
                <c:formatCode>0.00%</c:formatCode>
                <c:ptCount val="4"/>
                <c:pt idx="0">
                  <c:v>0.20974276647947063</c:v>
                </c:pt>
                <c:pt idx="1">
                  <c:v>0.21573346453789927</c:v>
                </c:pt>
                <c:pt idx="2">
                  <c:v>0.24887136705828836</c:v>
                </c:pt>
                <c:pt idx="3">
                  <c:v>0.32565240192434181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BED-4779-884C-FEB1ADBC60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6556075288411529"/>
          <c:y val="0.33126876876876876"/>
          <c:w val="0.21067676225481535"/>
          <c:h val="0.5346689653039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[Dubex Superstore Sales Data.xlsx]Sales by product categories!PivotTable1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0"/>
              <a:t>Sales performance by product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89E4F38-0E64-4E9D-96D2-845A57CCBD25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1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</c:pivotFmt>
      <c:pivotFmt>
        <c:idx val="23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89E4F38-0E64-4E9D-96D2-845A57CCBD25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9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0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4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4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6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"/>
          <c:y val="0.20230911987245812"/>
          <c:w val="0.97499999999999998"/>
          <c:h val="0.66104547760135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product categories'!$B$3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E3-46FD-9395-12D5584F5CB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E3-46FD-9395-12D5584F5CB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E3-46FD-9395-12D5584F5CB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6E3-46FD-9395-12D5584F5CB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6E3-46FD-9395-12D5584F5C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product categories'!$A$4:$A$9</c:f>
              <c:strCache>
                <c:ptCount val="5"/>
                <c:pt idx="0">
                  <c:v>Beverages</c:v>
                </c:pt>
                <c:pt idx="1">
                  <c:v>Sauces</c:v>
                </c:pt>
                <c:pt idx="2">
                  <c:v>Jams, Preserves</c:v>
                </c:pt>
                <c:pt idx="3">
                  <c:v>Dairy Products</c:v>
                </c:pt>
                <c:pt idx="4">
                  <c:v>Dried Fruit &amp; Nuts</c:v>
                </c:pt>
              </c:strCache>
            </c:strRef>
          </c:cat>
          <c:val>
            <c:numRef>
              <c:f>'Sales by product categories'!$B$4:$B$9</c:f>
              <c:numCache>
                <c:formatCode>General</c:formatCode>
                <c:ptCount val="5"/>
                <c:pt idx="0">
                  <c:v>110577.10999999999</c:v>
                </c:pt>
                <c:pt idx="1">
                  <c:v>69000</c:v>
                </c:pt>
                <c:pt idx="2">
                  <c:v>51541</c:v>
                </c:pt>
                <c:pt idx="3">
                  <c:v>33129.600000000006</c:v>
                </c:pt>
                <c:pt idx="4">
                  <c:v>27999.5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6E3-46FD-9395-12D5584F5C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21735087"/>
        <c:axId val="821723023"/>
      </c:barChart>
      <c:catAx>
        <c:axId val="821735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21723023"/>
        <c:crosses val="autoZero"/>
        <c:auto val="1"/>
        <c:lblAlgn val="ctr"/>
        <c:lblOffset val="100"/>
        <c:noMultiLvlLbl val="0"/>
      </c:catAx>
      <c:valAx>
        <c:axId val="8217230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21735087"/>
        <c:crosses val="autoZero"/>
        <c:crossBetween val="between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noFill/>
      <a:prstDash val="solid"/>
      <a:round/>
    </a:ln>
    <a:effectLst>
      <a:softEdge rad="0"/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[Dubex Superstore Sales Data.xlsx]Sales trend report!PivotTable1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Sales trend report</a:t>
            </a:r>
          </a:p>
        </c:rich>
      </c:tx>
      <c:layout>
        <c:manualLayout>
          <c:xMode val="edge"/>
          <c:yMode val="edge"/>
          <c:x val="8.7274302539991147E-2"/>
          <c:y val="4.40945319308395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layout>
            <c:manualLayout>
              <c:x val="-8.3689466116215389E-2"/>
              <c:y val="3.61526367868443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layout>
            <c:manualLayout>
              <c:x val="-4.44524257321866E-2"/>
              <c:y val="5.8374839567069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layout>
            <c:manualLayout>
              <c:x val="-1.4479085807854359E-2"/>
              <c:y val="2.50415353967319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layout>
            <c:manualLayout>
              <c:x val="-8.368946611621525E-2"/>
              <c:y val="5.83748395670693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layout>
            <c:manualLayout>
              <c:x val="-0.12201097555794994"/>
              <c:y val="3.61526367868444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layout>
            <c:manualLayout>
              <c:x val="-3.7912919001515159E-2"/>
              <c:y val="2.81933261650689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3.5792583505789018E-2"/>
          <c:y val="0.16149361918890862"/>
          <c:w val="0.93557448920998032"/>
          <c:h val="0.72387150982355741"/>
        </c:manualLayout>
      </c:layout>
      <c:lineChart>
        <c:grouping val="stacked"/>
        <c:varyColors val="0"/>
        <c:ser>
          <c:idx val="0"/>
          <c:order val="0"/>
          <c:tx>
            <c:strRef>
              <c:f>'Sales trend report'!$B$3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DE5-4B58-84A0-C93845DAE3E9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E5-4B58-84A0-C93845DAE3E9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DE5-4B58-84A0-C93845DAE3E9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DE5-4B58-84A0-C93845DAE3E9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E5-4B58-84A0-C93845DAE3E9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DE5-4B58-84A0-C93845DAE3E9}"/>
              </c:ext>
            </c:extLst>
          </c:dPt>
          <c:dLbls>
            <c:dLbl>
              <c:idx val="1"/>
              <c:layout>
                <c:manualLayout>
                  <c:x val="-0.12201097555794994"/>
                  <c:y val="3.61526367868444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E5-4B58-84A0-C93845DAE3E9}"/>
                </c:ext>
              </c:extLst>
            </c:dLbl>
            <c:dLbl>
              <c:idx val="3"/>
              <c:layout>
                <c:manualLayout>
                  <c:x val="-8.368946611621525E-2"/>
                  <c:y val="5.83748395670693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E5-4B58-84A0-C93845DAE3E9}"/>
                </c:ext>
              </c:extLst>
            </c:dLbl>
            <c:dLbl>
              <c:idx val="4"/>
              <c:layout>
                <c:manualLayout>
                  <c:x val="-3.7912919001515159E-2"/>
                  <c:y val="2.819332616506897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E5-4B58-84A0-C93845DAE3E9}"/>
                </c:ext>
              </c:extLst>
            </c:dLbl>
            <c:dLbl>
              <c:idx val="6"/>
              <c:layout>
                <c:manualLayout>
                  <c:x val="-8.3689466116215389E-2"/>
                  <c:y val="3.61526367868443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E5-4B58-84A0-C93845DAE3E9}"/>
                </c:ext>
              </c:extLst>
            </c:dLbl>
            <c:dLbl>
              <c:idx val="8"/>
              <c:layout>
                <c:manualLayout>
                  <c:x val="-4.44524257321866E-2"/>
                  <c:y val="5.83748395670694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E5-4B58-84A0-C93845DAE3E9}"/>
                </c:ext>
              </c:extLst>
            </c:dLbl>
            <c:dLbl>
              <c:idx val="10"/>
              <c:layout>
                <c:manualLayout>
                  <c:x val="-1.4479085807854359E-2"/>
                  <c:y val="2.50415353967319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E5-4B58-84A0-C93845DAE3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trend report'!$A$4:$A$16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 report'!$B$4:$B$16</c:f>
              <c:numCache>
                <c:formatCode>General</c:formatCode>
                <c:ptCount val="12"/>
                <c:pt idx="0">
                  <c:v>32907.839999999997</c:v>
                </c:pt>
                <c:pt idx="1">
                  <c:v>19985.5</c:v>
                </c:pt>
                <c:pt idx="2">
                  <c:v>30852.6</c:v>
                </c:pt>
                <c:pt idx="3">
                  <c:v>20771.789999999997</c:v>
                </c:pt>
                <c:pt idx="4">
                  <c:v>34307.049999999996</c:v>
                </c:pt>
                <c:pt idx="5">
                  <c:v>55601.61</c:v>
                </c:pt>
                <c:pt idx="6">
                  <c:v>27318.539999999997</c:v>
                </c:pt>
                <c:pt idx="7">
                  <c:v>29921.459999999995</c:v>
                </c:pt>
                <c:pt idx="8">
                  <c:v>31949.97</c:v>
                </c:pt>
                <c:pt idx="9">
                  <c:v>53033.59</c:v>
                </c:pt>
                <c:pt idx="10">
                  <c:v>31773.429999999997</c:v>
                </c:pt>
                <c:pt idx="11">
                  <c:v>66642.78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70-4648-9C45-48CA9675437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60919343"/>
        <c:axId val="460912271"/>
      </c:lineChart>
      <c:catAx>
        <c:axId val="46091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60912271"/>
        <c:crosses val="autoZero"/>
        <c:auto val="1"/>
        <c:lblAlgn val="ctr"/>
        <c:lblOffset val="100"/>
        <c:noMultiLvlLbl val="0"/>
      </c:catAx>
      <c:valAx>
        <c:axId val="4609122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6091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[Dubex Superstore Sales Data.xlsx]Top 10 customers!PivotTable2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Top</a:t>
            </a:r>
            <a:r>
              <a:rPr lang="en-US" baseline="0">
                <a:solidFill>
                  <a:sysClr val="windowText" lastClr="000000"/>
                </a:solidFill>
              </a:rPr>
              <a:t> 10 Customers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'Top 10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'Top 10 customers'!$A$4:$A$14</c:f>
              <c:strCache>
                <c:ptCount val="10"/>
                <c:pt idx="0">
                  <c:v>Company K</c:v>
                </c:pt>
                <c:pt idx="1">
                  <c:v>Company C</c:v>
                </c:pt>
                <c:pt idx="2">
                  <c:v>Company Z</c:v>
                </c:pt>
                <c:pt idx="3">
                  <c:v>Company J</c:v>
                </c:pt>
                <c:pt idx="4">
                  <c:v>Company I</c:v>
                </c:pt>
                <c:pt idx="5">
                  <c:v>Company A</c:v>
                </c:pt>
                <c:pt idx="6">
                  <c:v>Company F</c:v>
                </c:pt>
                <c:pt idx="7">
                  <c:v>Company BB</c:v>
                </c:pt>
                <c:pt idx="8">
                  <c:v>Company H</c:v>
                </c:pt>
                <c:pt idx="9">
                  <c:v>Company D</c:v>
                </c:pt>
              </c:strCache>
            </c:strRef>
          </c:cat>
          <c:val>
            <c:numRef>
              <c:f>'Top 10 customers'!$B$4:$B$14</c:f>
              <c:numCache>
                <c:formatCode>General</c:formatCode>
                <c:ptCount val="10"/>
                <c:pt idx="0">
                  <c:v>21937.08</c:v>
                </c:pt>
                <c:pt idx="1">
                  <c:v>27005.38</c:v>
                </c:pt>
                <c:pt idx="2">
                  <c:v>28208.250000000007</c:v>
                </c:pt>
                <c:pt idx="3">
                  <c:v>29133.009999999995</c:v>
                </c:pt>
                <c:pt idx="4">
                  <c:v>32530.6</c:v>
                </c:pt>
                <c:pt idx="5">
                  <c:v>36839.990000000005</c:v>
                </c:pt>
                <c:pt idx="6">
                  <c:v>37428</c:v>
                </c:pt>
                <c:pt idx="7">
                  <c:v>43713</c:v>
                </c:pt>
                <c:pt idx="8">
                  <c:v>50208.35</c:v>
                </c:pt>
                <c:pt idx="9">
                  <c:v>67180.5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3-4FB5-A2E1-D1611EE57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909680"/>
        <c:axId val="1779925072"/>
      </c:radarChart>
      <c:catAx>
        <c:axId val="177990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79925072"/>
        <c:crosses val="autoZero"/>
        <c:auto val="1"/>
        <c:lblAlgn val="ctr"/>
        <c:lblOffset val="100"/>
        <c:noMultiLvlLbl val="0"/>
      </c:catAx>
      <c:valAx>
        <c:axId val="17799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7990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State Performance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State Performance</a:t>
          </a:r>
        </a:p>
      </cx:txPr>
    </cx:title>
    <cx:plotArea>
      <cx:plotAreaRegion>
        <cx:series layoutId="regionMap" uniqueId="{DD47F401-1161-487B-934C-96CCE2D72B05}">
          <cx:tx>
            <cx:txData>
              <cx:f>_xlchart.v5.2</cx:f>
              <cx:v>Sum of Revenue</cx:v>
            </cx:txData>
          </cx:tx>
          <cx:dataId val="0"/>
          <cx:layoutPr>
            <cx:geography cultureLanguage="en-US" cultureRegion="NG" attribution="Powered by Bing">
              <cx:geoCache provider="{E9337A44-BEBE-4D9F-B70C-5C5E7DAFC167}">
                <cx:binary>1Htrc9w2tu1fSeXzpUIQDwKnTk7VJVutp2VHspU4X1iypRB8kwBIgvz1d9GSHavtUU6mpm5VXDPp
UvMB7Nfae6+N/u+P/r8+1g935gff1K39r4/+5x+1c/1//fST/agfmjt71BQfTWe7P9zRx675qfvj
j+Ljw0/35m4u2vynKCTsp4/6zrgH/+P//Dfelj90l93HO1d07S/jg1muH+xYO/vCte9e+uHuvina
XWGdKT468vOPv/7fH394aF3hlrdL//Dzj8+u//jDT4dv+WbFH2psyo33eJbFR4wQymMZq0//4h9/
qLs2f7ockCg84lwwGTISbv/I57Wv7ho8/+ud1ZDede3n77+3p087uru/Nw/WQpxPn8+ffSbDo4gf
u7F1m9ZyKPDnH9+1hXu4/+HG3bkH++MPhe3SxxvSbhPk3c0nyX96rvf/+e+DL6CLg2++Ms2h4v7q
0jeWubp9SQt/zzJUHVEonnEaPlpGHliGiCPBOZWxlN+zzNXDdHd/99J+vm+Vz88dWGQT7R9okfT1
Sxr4mxaRR0pJzkMWfVL4FgvPYiXkR5zFkgr6edHHIEm7ujN3993nb//3IfLnkwfm2OT6B5rjbPeS
Dv6eORg7olKFccTIvwgQhgBRNJYh/7zqoz3O7u/0v2GMp8cOLLGJ9E+0xOVnnXzPG/+mJcIjAivA
8dmjJdTzwJDqiDApKJf8y/XHBPZkj7ou2q4Aqv/rtPZ9sDr78uShVSDeP9Aq6X8wtdP4KOJMCEXU
9+GKqCNB4igmnwPos/6fUOuuLv7oTFv8G0kk/erZA8tsIv4DLfPr2Wft/AfiBcBEleJUPKX2b+Ml
ppHiAK9Hyx3kk18L+7FrbfHv1Fx/Pnpgl03Af6Bd3r39z9llK7kiGsci4o96j57jGCHkSMQyiiIh
Pq/6GCvv3J3+/M33/OP76PX41IEdNoH+gXZ4e/WS/H8vn1B+JFmkVPhU2YYHdpDiiDIabeD1Bdm+
zidvH9oWncbDw0tb+r5Jvnr0wC6bgP9Au+z/g3k+kkccqETYEywdFsAyOmIypiyS38etPcrg4t/p
Sb48eGCTTbh/oE1eX7/kmH8vVhg9UlQKVFfiS231rCn51MBLEqIz+bzqI2a9Ng/5v9O2f37uwBab
UP9AW1y9/6yV7+H237RFBFuoiFH6hEvI21/bIuZHAle4IE918kEWuXqYf3jfmeqlHX0ftv588sAq
m3j/AKu8vMWvu4Jnd/5Nsgv5nYfguhiNv9RVX9tHqaNw62KoerIP+2yJpyz/nIL619v6vpEOGKxn
kvx/4rf+Nff1hSTc3bm740/s4lf018tXP4kLtvPg0Re6uadLZ/c//xhRIkCkfGEtt5c8XX7U+p++
/ajwrx56uLPu5x+DmBxJTiIwYYzESsgY/f788HhJHcUijJiIYgHqhgmU2m1nnAb1yWFttKRhKGIC
CI1RZdhu/HQpPIIHUK4IDdGzUrzws4xvunoBbH5RyNPfP7Rj86YrWmd//hGr9493bVvlTHJBWcwp
5SFXUogQ1z/eXYM2xc3k/5BJDFMY5t3ZJIOqSKs256+pmfurtZ4l2IUvqvnOWkCQb9aSioTQhQKx
K0Eafr3WZMNgHSRpz2I6k6t1WshVOVJ1u0ADl8OwquOX19vedyAbAx8WxWGMio3KA9lMQKO4lyHW
a0iVJ3PYN1lS+pVcOc/oWesyQY+pl+TtLIoIpe9LwiKBHS7Owxikg4T1JCiG58IOQWh9Z017thrn
7pu6sSKpySQvF7L6a5+t6jaLwr8S+Tsq5tAWZcAJ+NrmNl+r2FlXmlnGzZlpiH9T1drdT21TrIkq
jH+Th8vfXlAQOCmWg/cCvvi2oa/8pwwD30fWqFMdZN1FLHu5W7RTx42kwe80mwRywEtqJd/oNQZM
ChmBrYFyIwkY/HrBxZJwzTM/nY6dH6pkFJmNXq/rEE6JnFnbpMtYkCtZt+wsXipyPUy8vW37Pp5T
Laq1TfLYxtduiaIxMRMfp6Tvtb0kXvnflkj+hRfw+Dv7JRsBBRcMFYL9YL9to2ReNm485THN2dug
iXh2YfM6HPZ5N8hdM+RkPiedXuo8sY6Tt4jB5TpQtTmNQi3EeWElPWuWnt/l1BqRaFHDl2wWdRfN
KsmVL3Sjz6cwqpvj1kzkqolC6GGo+Ep2Y2TzMglMESXzEq1y33NPrgITB+Z4jMPuog8Wf02c8G+y
QmV1spqp4x/kRPtlJ8zqp2NZDVF5YSj3bwRQQuwKOVXqtAyn4Ney1iq7Hkxk4HJZOdA2ie0S5F0S
rZqQB3ipL/KEFEXpXzmmJvaLb5f5sg11XaSCl3MyKcai5BMQmKVBnPrJ+jfB7PwbVQ1Gpj4b+vdj
GfXvVxPSMzFVbkj9NPXvZUOnN6G1XZOqYQV8+bBUxyUx/E6a0F93piZR0kxZ/55q56+DISBvuRvl
rlgLfod+ImrP2kX596Jz0ZgKRjoLzXJ/PTIDSfuKzUlTWyyo2iK7jcqqMrtRzvyuHqFHuU7Qm2Hk
7ahgtFUO6nYeVn4nAuGvi9yq44HOnO6XrnAyVT7QfWKnzF8/+qouczqmmhbz+KqovL2vyy4oEsYh
bLRMvT2x81SvaWCWSp+rOCuas2oIhsYlIlJyPHYs0r/qaVa3sgee7lw1xv64WRj8ZGoFu+us7N/r
vEfwD426VItRt33dlHnC2gKe4as+SFnuuwsTLjA/7Tv/ZhyXft5NIoJKEd39e+/LpknzrlqH/TQa
GElpQs9GXRZ9MvebrDNTdSLzzpx+0j/zjqd0lOxYV3G8UzLQNh1aFV59usdlWZs2S1gCN1Z9GkDW
X3Tspt2cK7UfBwsH1lt4CFfN/am1ZZZdEDuFfTrZedxVg5fqmoYxMTRxaPnGxNUyLK/cIGzPE9lU
kb/pRRuaPMk6n037ugyXJKMBHmjrgoRnM3Hx5JO8CVp9bq0rgpMlHMt5N+TBkl33fcvrRHec90mr
R5ddRqta3gsVzffTEgxTOpd2Ld7MSxDNv1qoX5/Ytp1ObKTbOVnDqksCOQVpF1ZFEvCJQ8/2bU8z
feyLRSdZq5a9onU66MGfzXRg+16W9IrLbkynaT7N1OIvXN75t6IZu1T3WQGzB8sV45VIbazJbzaM
hl2vF5G4xZPXgdDuetaDzROXTfx3xyrF4F92pmmuCn8xxcF0ymSXN8kYRl2dhN16Jc2Y3w8WsCma
Ij5vCy2u+rBVWTKubLkk7dzA4D6wXbKWeXHS9qu7V4Ue5p0NxrzYwbnVOcucb3eKTVYlJI6zW9pa
1+5IwN45nQdpYYa7lsTlVVmjHzwdZgrIJjGF05lwgkstFbf3muCPBLjsr5Hm4MtR1uriVAQZsvRq
ipPFuv49J07dNoseyyTOZcMTPk3+evU6u/UatUXPSP9+sZWvk6ma73wn89uSCwBmF1VvyyAsfy3N
isBSC6dnWWiLkyKm9Ez2KtSJUlm7Qxrt3greHK9F2e4sxMj3hDaSn/N6DdWvq+3J740JgvVs1WyU
Z7QxK51T0lu/p4aY6lxElH5Y84mLY9NW57Xqs8s56PM3xpb6LJfqbaz1cFs7c7c0fkP/gtzaRo27
coSevCqB87wnxbnq+uj3McjGOa31HL7q1RzfREJW8a6Y5jNOx2Da0XkgKeIyvmBZZ+RetVH72o+R
H/cri24bLftd5y1bk6nR844t0RAnQc34lDQ0a6/aOGAfakJxf4+MZd5xraLsg5JzYZJh6LNuv8qu
qJMor0aWVrYKLpu6GKG6JuuT1fH8tyWW3WnBWvk61jTclRDpJCa9qdIlyuz7zkvUIr3j8pLORZBW
ZIJZB6XMcVFbBrBgdW6ujLTL2UJLeRX4Rd2apiubXVALex/WpbrkGQe8VWKF0wwjPMXmodzlPthc
acxbvct1R67AYgNLBxEB00uF90wRdiOcVpd2hmnSulbAwWYssadYLnNS9Axf6KqFC3qaq0tR90Wz
y6MKeG8mc7roCTg48dzaE8WFvFR9HaSl7LByiWTSpJj4+Tc9xfKCz0N9Ei/I46j5ixOarexuXUoA
/icIjPWYmeM4yDfXn8Nav3FzK9tk7Gd2OY9jeBLXfJ0S4wJ739IKmYNQA4+I1oHfxTXyoy04cLrh
RW12y9DVelc7HqNiWNDXnDxui7Tc1CeDLlFJZEGA9BUboP1QG3M6LaN/4ybUvo2c1TFZ63Y5j+ZI
tDYZl4b5V0TkEU1Do7r3czT0+nXEJ+y6aHrIOk8rlmxNscTXbOhri2whHOuapNb5UNXJLMMpjtPc
M3E+VrYc0mLgy00WdPy90ATAupigvJx744ukqsfSImWQ/O0cr90C3KzFJVuptMDFmNzUXRCe96MO
/nBmUCd6nJVPsGdUOUUQq9vIz3ALWRtk8kE58paaAekpN76t9iZm1YqdFJtGhw4Wr/mCtD72kiNh
GkDVTbZZtCwpzDQ28LjawowBGdA1uGgNTbjjtg+K41ryLLwlwcI4g55QWt4IWgTjzSR8Lfq0mHWu
5XVdSSWQqnq10h6pcViK/VIVQU7elRLVcn7iZ8eTmKDcqMOOHxchy6o0q5ti5+Y6S2axRCdNoFCD
xJEOzytm9BVt3JQWgV6O8f9h5xlX53W59q9g/uG6k0CWatLBbz5QxXng8iyZrEbqWWRzmoO2ThYf
B/t6nDnkGMSuDTOdhLG6YIvN0qGhv+QSkE5NPu5JmJOdWUmTGO+Hs25yeZK7mly3DBCToAwxSTmZ
IiEVKhInmuqPoGB8L6cuO1Vr1xSJG6ZuhwicU6DCH60Z/gjq5bXybD6DX6MwGIfwtXJ9+Jo3y7Sb
wiYVdmlO/ciHY9TG2Y0X47IvkUR35aDnY8/YaxY69spHY/sLrI283Pr6HJmvOWFNFSRxQF0qG3Gc
q/rVWDGbUKjqdbj0+bs+EON700X0qpuasktpHqKA9MNJrep2J6Y3tCHXqPza4yiYwz+4yPg5pRMr
iqSJVBm2SRvPLJOnQbk+8EHAIGxECO9xGGbWu2YM6w6FdjD1aYAMbJNlnDYE0SEQAvkKaOjK7mIc
ouBM0GXoX9mqhpM2GmhTCAOPXKcMts98re2bpZrLIp1Qdu9ebqO2ruNZayxBRMQ4wxNHBBTEYdu/
TlGpkPH6055/KvonH0aJ2Qrfl9f5pvuRUuIIF7gMtP0Mjdvzbk1l2o1l5/rTuhUA4zGOydvBmqBO
mCfdhWBb6/IJDl9e95vWH+uCR+NCoDNl6BSfr4uWvKZl5/tTX9bizgWNOW2sr/1+jjXwq2va5VoI
DSwepq3KfXl18DaH2pUqQleMAMcmyIHUiy3BnhDRnc48QwOyShO9lRvqlrEF2ru8x3/D3qAt2Srv
iEmA+6ctPHFkbx5t+Uj0fOz6xRS5fjq99+XP/3nbNfjfpzNlf365Hf77869Xn08NvnjXyUO30V32
8KZtN1/ehc087W5jyZ798Q1l95mw2u783158xtg94yc/E6GfyLetwf5CKGzvf8bXHdCcX5F223NP
lJ0QRwrVnsDBQwwuCAthv0fKDkO9I5B5GP6BgANht1FYT4wdeD6KMQYI2kiSCDTbE11HcDCLRhzH
gAhOMygcafg7dB0FS/+Va20r4tSjEgTUlQClFR3QSjUpTUvmij9IkrlRHUc964M6DfupWG85H/vq
jgWG2307LHZhOxd5rn0adFn4IW8Na9GPRL6Kz5XmC5KTCtrhdFbocV/VvAEZkHSV5/0HXrnSd7tA
iLpE7xDHjDzEvlvG61r7uL6TkvfZR9rQQVzlohh6mjSksNgK67lpXmsSopzZ5TU3VZ90M2+aSxIv
A7acNw1ZLqKGtuUfgZ06PPOVSZ9c/2tO8znobEQU5hwovxD3MB/i8Hnwx6QpRi20fMjmri2HU9ew
mp3W6ExMfLra3BVzuhY9TpjUYVZE2f7l5clGsv0Jrlg/jinOSDA0KLAUNvN8/bVEySJCUdyXpKIA
F9dRTre2IgqGcm/8nBu3M9rlTCcBC9a+fTMzutgoJWwVMz13Qre2SrpuQCNxpbgccO3lTW4Q9NUe
45BSimNPim7zns0tn+/R6yKItKHBvQgMqKNdvsZ5POxryRwNk9Y4IX6veJi5s5fXPbDNti5TLI5w
igEEBT1ctx+XLu4CKu/zBT4HkiJE3fibZlnUgqEti7F43SJpOJdo3eGswyMsPh6s/Y5rPEdmhuVj
tpGxkWIcZyXiA2TO+VQEodf0PojreKApn0PB7xBIgTvr1iKur4qAdOQVrYZlvKlsGK46wSnjGkp5
WRHPiXfshEc4ucy5FFxAG/TAAE4UYblUbfYxUytK9JNuADuNoi5rrFpOFqQLWOXlJb8VHsy7YIJL
MJGYIx3w4Rqpry6X0NwzMSPK9wsRK0HpYubRsuNCZkz8bkZofUiswEmU37twmYw6noou7Oe/cARy
gGRQgApxUGILVByV/Iadz9VactW74IMuTNwEpx4sAQKi8Z3G8epxLtnK0qKxS9QnXkUUu+JFqMeb
phflkrYBMe2NanRj2t3AOxNdN1PR2g8v6+x5IcHirXhhmCJwEgPDcYjweZyMcwYmcVj9B2+cgROE
YxVCWaGfKQ8Sb+gU3PRRNWxB4+Zu+yj6fPy7yiJExCDZQ6EkowzQ9nwbcoisW6zoPrQ1D4DhJdBr
BXe6hG7hFzTjwH2bg5m7a0reAlFN3xjCT2VQBlOVDBpouyH/ovFUW6z1dMFA/YE4fVld5NDHyKak
ONpOIsHCQhzkJ0/ntlftSj+AnxZBc1w629fjm2F1Rd+m87AM2FwQNxOudcvQdMtOVusS3Mx9n51Z
ZeoyT5t1DZeLRg8Y0STgDEXm0pGHQX0tGpWvTRpR5QGJUVAupD0PV1XjrVWRzcPwF2FKMO57BpRo
iVDFoY7DDxEEGOEDxIBntsPUTv3vMe94ydMeQzm4YpaNYC1SsqLbAJW3PKJnPTJcGz/BSU8yiUvo
8agY9uNM/zqg2SGKR6g2FAIJEwYMCb9xi8pXtsl01//eG0TRcExtJdmriGi6XFA7LlCHykAgg/zx
yxInozbzoFMA/iyu82HNglPTsHK9NcFoxZUsxFYgeDY1tTqpRr6Zp7NUwYWWKebTdW/Kar1da1HN
VRLW9Za0CmgfBupapfElRa263srGe9iO8nLBh13D3Mldzy21exGPm+0qnxcoMIZPy2NGEoB/kZ0v
8YoOxQN2XgTtVhu4njfVnbeiHfq9mgyZbhjtVndpTJWZpK4bEzVpkGeNP80Zkut7sCgZu53CicDJ
YpmjzpiGtkOJ8rKzH0I4tI/RYoypPIsFB6XyPChptrQ5AQP0OzpkC57ZR2Hc22Tuyq4+o+MwAyhe
XvEQjaIYWBQR5G2CMuObFa0JrZ4bOr+n67g54zyyDf4iG1dI3mIauPg9K+kKJ5yj0dn8VQxggZ++
vI2tnH0WFDQWGFojcfEIIy1Uyc8lX+k0DoESzW2DiZsDA9+NPHjoQGQDjXRlW3Jssrgr3kxW5kCc
XvMuP86li6YuwdhyridQKvlwUWdS3HhqarkkFi3TdO1kEBbpwFc0RnAi0LElaBG0yCwTZAt2HcIP
u0mjujjLysptkT/hlyqvcTQy7peEVob66eRliQ9xTVIkKJQbkHo7g4Ge4LnElchA6g82fjeNbYgi
lhsToYid1s1vGYosdqrJ7OG2vlIUH7n7VNkGot9cmmKuEGU3mRebS0dDsaIjLfqIbhA5rDYk+6HG
vKc4WflSIeqyudlqagLaBtEZkwFh9LJI0QGySVRAEmkTqAYLEvTnz0XCrK5Zu7KN3kmnKWLL9fm2
ARdQDDue4hgnhhbsLdMgV10KrNwgxfQDEk2A+d5yQTzfvuoG0MF34FNjdlrM9aaHYZk7cZUNHncV
GEHgNUveCLuvgthQUHpmojZdkC8g7l+IdlBlQjScjmARQahglvDN8N35isT12C3vaA7+v0pAGMK1
QBUW3UcXyipqk8V1w3obR+2WH5ugIzCIF02dL8drI4jLMZoJxvkdqlQDdcxxSeF9dFqBJm0RKLgY
m+t+Q7cRsHlaRP0MWHOoSLBg4TBUiFL0WASqaHIGVTgX68ClHDwnQgLceom/HvWzQWF197ISDmJU
olxAdRVHHNwoBs+HpS6ZVyYWMQRvpybugA6P5W2kpZ+qFJ2lztu/goWDdLQtyXCQJAqRlkKBqum5
R4VlhxKy9/FbO2L+cecW5+BQyP3QDyt7Bo4zmwPMIBJR0wUKr6esRckC0IOWZuNr9yYWVmblPnNM
AgwQkNO1wTkpZIAGM7RrzJiQqJ7Mlg9zC1X6WraIFUTRZo688pshgrIg+FBLqabrsGs67IRXFXJT
JdzWp76sbaYohPuqo4LwWxIASBD8ZuHbjgrloA3y0C9vNcZxYPDcWNE+zeYwK69EtDKzHA/aiF4m
KgKVqBMDeno4D+uRep70qHaCC4NhJHuVNTqm6TB3Pv8YFnV4OmcjE7sqbrv6npX1aq6bTjT47edK
6vk1m0jo150sW8X7dED9aMf9PHM5XZlBZ75LRBM25JKGhqhd2xpF0tK70WQJ5jHDWia6nQzzYMer
CcEwrWZe6sQHvGTlXkVkZDeidgvL09CTcR5PMH7SJEP9luXuzOkYlVkag/JaV7S1cMX+zFdLNiaD
7Uuxn1Sc0x1vAr/ioE0XFbcjpjzZjjIXkXRBf9oticidVTtVRHOV5rzOT+OIut3QhfN6kak2DE/I
THS0zwMrdXjcV13D3i18yqvgnepC799656l7FYDID66RMeLxHlMiYd6t8ZS3XdJ3HdH2F+XXujrJ
CrAb+7VjsukSVXU00mlsVjvID6QpZXuvo76b/A6usgwPanTzHKZVPVtSnrqsHbjcoQ/gtTjJmqAS
V4rEQVWdTALT8lo/aNlSBy17HNUx7NVKuwkuvRJje/0LfnjhRHjctgyHUs5GlRW6vmy5r4b8uJxy
N0+XoA3zothnrJlHfp21ER3ORMl0LvfwFUGrpJ8wgzRpbWUxqyQPmBjcDszmWi5nc24DXZzMRYNs
k1ZqZgDYqS9G/lsXjILbMzjHHGTpTFG2kKuxR9WlMECm0ovXdRTH+HCPXwZFUeNaqNDVm3TtLBs+
rOOgoum8FKbPo1PigwAznqXkOHpw4tuSNHXC2bTlxZAHBcTJKUdSufPZgt+cpCXGijx/vcz93Mdv
yiwo53ofVzSI+rNqXJScXouS8kIlmAtunERsHNfVbZxnWbBeMFZbaCrAvIs0r4Dag+YXAc1MXF+S
YihI/aYs51Jmx3MJIMiPu4JQ7B2QtW1pmYI6jI7DXC/FsAv7qjRy17ow4O1vUR61WK8pa6Xejbkc
htSgD4ZmIzkWyCApEXp7CfaPkgUzUbXV9ExbSJ/2mrRU7Es9bxqjNQ4uqKSz2gU3bRNvkM8wP5Fx
qmbXwQHWFvXGiVOmwX39o6ja8RXqG8oY/5BLbIbVak3QZLak2MxDeqYj/iup/abnlqkSXFIwBgam
CNpKavYwDGhohr0pClRa6SzJEmPwJjUfA1iQjcN468p2LFroK9Brh0nayoh/Jct423IBS/frjYBn
YQWKS8OHLPCbgwkTbJbnC4ZiH2rVbKqZJoJbkWLlMGMPE34aBBmf5DGG0uEDCDeN77jvO3FTcZYp
mrJZgQBKehxigC6evCdbrcIr4zLYhMvc8kkZI7zGpE81ruIr3/6illevaFiY4OZJ1cHj7Z+V/Hgf
mIKoehVHfYMNkDbQ04eqEH1hToqWLhB6iFb85D7BlDMvwhs04HmnEv5oqG6dHFwNnfdo8rOWqCXj
GHXpaRGvFU5kQEtT1NS4JerBsZkUNEc2qaQKl63ozRse4cs6zsPhg3rUYNcjgoBrjzLpqECPlvZd
K2Zyuoxy687DR9M+uofIqhr6EazAE8ccE2G80YtFw09zYrZlNNMCXy7dEMb63YoB3OjOISnd1Pvo
SOu4jNglhNzeQgpj8RzOIlN4l3V62/qjQoN1XvFHV9OOxcdByNuqPFsjHvv+JN8YrfB4LsYOMY3J
+cZ84GDJ8KGY4mj4gFFxC/exHBUrhDc45SReW3DZ2wujaftgEw49QCNtuIVDs/Jt/+0ocj2/G+u8
zot9m+PIzI0eKMnpaWWXmLgL+ugrRWmVi0+eVK4weMR2fEErvAQZoMPiZV9UyPMTGVYRvkPlVspp
1w+Ba4s0tHmGxXmp8bvCnat7cJs1CANQNjCTHs/iLt/CeUR+xXfVMopS7isUi345p8rWvjvFcDvE
AYBasbqZkszmoA2JIiPu126w+EDRyOurZhjx36WZQaLxcCagigZw+fUVzq5lIAVmU2J1ovNuuhVt
5tEFZMu6+f6sAOXl3tMhAsJIo+tRHtcNUmxz7IM2U/aMK6Qq/z4UvgTe5HXXVdXpE51culqbcj/q
Gv3ux4VZ/B7gtC811HFCP8XM0MkaCrPZXGXrLdWym907HFLTszh1j6J7lePg6o72fq0gUZXPlh+L
NSRAOWfYpj7i+81rwFdtLv7In0pb4UxPQsZok9cVRYQPAwfH/UMBKjRIinoFr6xYVLUqAWWxiOYV
7YnBHWIhWw+Lkz8WfvVIsqyEY767H9vBZNFZnuFkXZCsj9RbhrYcrOHAccRpOclIhda3adA7tamr
QUzwi6YSWzw5Nhcg4fNKOkAlFdmCnGcXIE25R6+3KW8s6EYVRKOs/h9717FkN45lv4gTIEC7pXkm
vZVSuUHI0oAkQJAACX79HCrV06WsDlXMrKcX3dWlVD4a4OLe4x6w+LaDADO81K7DXX5a0J5x72Lh
k9bNTcraHaSUBsfddSw4i+b7ADCW4+XKW8/Vh2hRYTcVgC78KAC5jwH3NaiYj5Ech2GKl795wYa7
ioZ+Pzb6kO/LDQpKH4vv7Um2swQSzRrSMHuxbGHP43uxmcV71GimgSpsakyjV9RbrC9vUdClHduA
7PfA1eCh+GO83FGqrkG/is467eWiXqPU1aP/JYBIobuJolE5fgjAzc/ej6Xx25WXONFYF2ZTB/zb
y5POj/UHIJKLmJ9INbZVlfPQsXp9WGL0NuO31DZ2pJ8mngCaOGphbJ/mHt0m8WELDA1kZnA6rBj2
fV+ip4zjMDW+wSrv25TmFv/Si20WL2Cm1uLXnby9y1G1AIhz8Opuv62f5abr7F7/Ulft1QTd/755
m6nff2L4id7zlu7/Dmy0h59wldt/kDOgE32JyX3nNpqOK2zlCt0iv9lm56uyxUbdd2Xa73/ya8mi
p0QlSqH4xR+94eF7OfWqXK9OszjzqSbJnanjagHnTwag54HbeErPyzjsu7zyoLsClg6eCP8D8R+q
xbgRrO+AgH+4AW65X7lowDS+/vqgUKc40kYsFe/xbWIbmnaLRdYOygT34q1gQSuz/2aI6Xcw2uvG
HYSENlgHQdFX/Sh5Vo+R8R4NFEK4Z8hJWiylhlZ7G1cHKz4jtt1+WebnhvOkwDmS8dDsm1zRnWYs
hmXd12TMN1DkWVhDlNmXddthNx7eHghw4L3oCTjA8HsDqOTay5qyLk7+Afh6N9ADy9kNEgTEahpH
/t9g5XoGhwC8mj7WUka46riC3OtRLxJldvSCfQd1ECXjKdhm3K/9H6a732e7/eOjnTghu8MQn/9u
sNVmld4yxYCq3kpjCwx4f/5gdzpYM/+Hj/5nhgq7iUC4gM8CZIX/jvax/i+C+gVq64SjlfzXGiFi
lTKH+g66lzgFZ4WKHNX7SzVNizcsAx3glf0qjn++lt8hhJAQrJ/ER4xLBDoc65z+fi3cMgr4tq0e
U7Bq0WsT+ns/Pk3wWZabROv8T8/57x8IZy2AAwgnKMDF9B2uKGpN/K4nUJSvAw6KSuDE32X8KHO/
dvafb9DfYbt/D+37HQK7JWEMgw71QUe9+8C1a4NqmLvo4VfFWOptB+0dtDlheFiDKbGHVvFN35uF
uRYCn2Gv50yjNHjTFuA8+ocr+n2l44owSsEkA2o0DRGw89604lLiLbFj40P3tqkW9HXY46sRHHUd
0vsGrwCCU4edmTIcDmgtvHq/kFax0Wy5HTHZH8KeyZBkK0qLy1HqR/w49gf3byAOxDyZL298lnor
s3++ifevES8OWh8SgjGBLT15Dz3h3B1nunr2poZGFI9z+9kIqSkczL3zEhPAOvunPfOfPi8keJH7
fyD5eQfOxiu6EZoQc/Pr2FuremwzIlFZZaanpvpfQWuw9fgJ3Eu4PwjLkT31vhywhQOJtk1783Ys
oUne30YsOuyLYRr3A+PPN7jXl78sUywI0E8BdiD0KAEQzXdQ7eK2tdFbKE7x4GkR5nHfx+w10tgw
/7QF//5ReHUJGDy43DFkvr+3ntPemSqqTm+tiA2BjmAdUSgD/4kCf8et4bdDoZGCjN8d2Wn0N53U
QOaat6tKv5IWMPWvbUUjsbeKmvX7OLkk8C/lpA80jbNYd2A6Muiv/Smf2bDGz+1CUAT//LR/SUT+
8sCBYeIRwGVHfwoGYGH+vfIRAr4oburpqDeYcKaShuuukjCwmxn5Y9oGEO25nCpgvmnWc3hdoMAP
q9nvL9FFQBpU5VIoIFJXNAAmQu56HlaVPDn0LKG84Wsj/NXlnIIK+zSNI5SOpW5pMED02JmNzjmR
JJr6ItEhIMArBrUci+7SN55RRBiS2C0fen9cr0VVW2jG0XxFjQ+spoWE5IQBKIbwsPNahSXyq3GC
+H/fjuKt3cHkkOAQi36W17cRSPx8mkvdUxwpGFn39mSx1EOjLWmC+WWgBo8brV9k4hs2dXuT6b31
XAqkLd4bUYm/Qc07zb2/ZQOsYUNTRCruWpP9C4oZcZxDdPrWYP3s7MD4LXi+sAfuzUU8WiBemHlE
REsFO4T32AtMO/aCgEVpqrxb+wlzHniGru2eGdrxlN1Ebk4DdW4j4u0gxWQ18F/3Nh+mi5vYWNTC
9ICDgQzFYD+ytp4h3c49I6uF9NnIoGqid+mYQtJbVmMUhONT6FK7ySfwIDvTht4UasobOU8gN54a
BRS8KrDOIXM41Hr0/TbvfTTDPxxG4im5CKN1oa9Q+Lo5uQGcx9X9kKatoGU7TB7BhI6Cts45TKHg
+MtBOrzbYlnppl22e+ukzdEy+mGSu8Dx5Uqk0zxtGWjypcGUnyYafG1Tk+kYkG5evkSkF64ueIBB
YMj6eOj1ywBEyDNZ8kYF/qqRI3j6KrpK4PjAIDTUXQTZ9K/+D4D83r+6Ac6a+td03P3sUoe4Exgl
dQqljsqsJlHvo8JWMsZlUCHgMhOeTZ9wuMjkUQ2p1x36JqzCrK6q5TF0TdgWrln4sQksOzWEbede
724+XcmHWEc0X9OwvombuSPAsq1+4ljUp6AKoeLH7qu/tFp1LxVpZLGmPlS1ScfmI4ZwQF10CC8T
RV6lwHYc4Eu6ipZGFXFQ13i7xNOHNl6DspWNud3abiYlpoW5TBxhHVZs1H+tlXmkfqAudeBVl72d
5jKcAI1DIFOdrDRpUadLch+reoTeQDXfmmnkRVcraPiDYShCno4XyUb7g+MD2OlBhQF+deKGPGiH
+LDgV54TzIlfIAc1R+gx+LcxFd1RrH63ZS5tw0PdEvmo4BqGRh3Q0ZR5TFbPy7olnztvCAExmP5p
SWhTEjqTi4CkdZNJz2NXAeDDg54nBJC0Mb8HqNlARzWz9JsPCgpzlq/8B0h/6+ag3OCV/tTPD5MN
AISgFBSTW80Fm+A1y8J+SXIeQ7+bvDSWpu4MZYT5OtGg9Utp1Izxq+lrl1kEa31P4DqAQYN7+qJP
IZMoAn9u71fLBOa3Xl6G0+yPOU9q+Zm0k7pa44BcTpG/r1Ae7txuZZeLFW32NYmFPQOV9y4awWpa
JKh+3/xlgbFwg9mxxjivvE+LGpfvo+etOW387TPsYZJC6aAga9y2CSu37lSXQcmlTaG2RawXkalG
aG591dw4P0YhxqiX24V17AL5kp260OuoD1QZehl2/ZoBgf4QLu4rMZzfBD62j53MXADyJE1Wrb2N
i9BJVgbxPNyoOtCfnFrRKxLQ7hXcEwLaDJHHTQWTg2dgKQBjLjNGu+EoAWBklPTz/eoP4n6q3Sxy
Mc/V8whF/4teVU+zcTVrzn2t2qzF9YEJToAFYuOt9ZYHa7LcpXSqu3zYbPu57dWWgXzqPyDJbMyU
sv59CnLjrCj8k0YTfhE0Q/B5SqL1qgUPAdMrgGB8KJ8zbrwRk7KprqLEkw1MyiL9rD00W0WCvrHN
wnYa76IlEgcU+ijK02aLTzMcq3fQD0FzstT6mcpBHS0skcdW2eizZvx5wfz+vI2wqB5HFbisHfvq
u8MDOdZzbEyJ9tQ9zjoNeaaDEUyyqOaM1Naeo1So44j+2N/NuulzOszpF7Yq9tRqLr/YzW7fDRZ4
YWNJrwMIHo4EJ0UxruP8iL7Xy8JlsFeensTrRuRwZJ3PoRgDzH1TOxLgLFtRkUjbJMCp4KU7xSCM
cjUN7VGERj9Dc8Zw/ZZe+GRghzZi0yfgheNdOtT65Lsufezh9rqsYGkp1xglF+N539wMMCZcaBMs
d8PE9ZNOkuArExbFgY7O3gSux+YB1nbrs9lcrjpezs2yMgk8KRmOPOqDAmM7lJ+AY9Lz5sHbwHmt
7zea1M8JIJ1P45bMTzjwqxM2W3y9+d4MbVXUHLqUh1dg3n2Wz33aFcnmBob1rofDVnnyToAauIPY
XMHJqjpy0Es7flKzCWCPDLftSqeBuYSASgC16OVTxba0R83u15LFIjn54CJzq7bgNrEVA2OgvW8e
p9DGXbkw2Jo0h4MNPXgRG0DtyZUImY3nkiBQpJuzfzvfgP50N17ghv+L6w0SJPPcUGvHY007Fvxm
diP9kF6897gl6dbHWbvN6S+Pm/SgQ7iEezPGs47IMuurMbUgoPxV+8t5CMb+lq2Bdx8PaaPyaNW1
LOtU6QcYH21fgop29WXfCNkUnh5CKDU5971jbKdpe3DJoE193FsPUqTjiuhNgacml0pcCGAFusv9
GJ1LHvaG2+v/7HiCjJD7xeKjRbycARDMH8IGU6lGHdFwzkVonKoBcqeTnaP4IqQrGdqnjTlOLbw9
I0nNBUWxI+ckAFNxHDs36KK2U2geUzhVWiiDqi7VmfZ41YncC9L1sWFQ82QU7rt76XxvOy4YgNuc
xCMlV0varkNONfiF67hDOS0g3NsKCcTtooWlLkcWlriY4SOf2tvOeRH8TrAYDmTtC+BHvdjVY4qG
/e08B20yFy5qo44C+Ie/qpQJaNfc+I72ZeCbrr6C062Nsn4A/Jxv8zoOGesdCKnYtOI0wF8ky2oJ
l2vRAL4t2rVZT3DW+/AKJ6SOAdW12j+LSivQpCaMXUYXsPLRTOcbL0zXOO9bDlMQDGEMECGwxA++
8vQ3m6I1YVrBcyUl91lZ2ZoamqOFqz2ZQzMAiRycWHX04LxAxmjMTOKaLkclnfEDknjN2nxFERqT
qKxVp7KwGpErUIo+9uO6VHSFmfja92xk4AAben5qxyT4XFn7um119VzV6rVKVdhmGBP6xwWak5In
XB8JDg+CIhFp0HLxdtk52t1o1piDrXWaq1FtKoshH4WRqA/7Rz10UaF15DKTNAHqq537r7CCbYdY
dqAXq5Vfg/lMSO6v0zIWGw6b4C6davYYQ9ikYSoFBoX1gAWTQae3fPOlEvdqHKaknOK4uprkIB/N
OM1VadbK8jPQ7Apu0n5Nz3BrjgUdxu4gRh4+DoL4ZTrX8lLw0LumYg0uqQKZKqsJpHqKsaiglNvP
g4nNcVsphSs5xiFckNSOU6lgpLmBrnGZz0ovPEunhaxIN6jaPIgmq7LU7zm0rRBqmvMU4eZKB/D9
cePI++Lg48djC96v0NiUsGU7oW9wyuPwbyLRFU2L/gKXwB9w6jQHgwiX3Ayq/tA2lf8KRHA9QEyU
HiVJ+0Os4vbOa4nObR/VL0hZeIarHEAvBrdDTHn7SS50llnIpPzECNcXhjK+ZlyvbZI3AG0vuKK4
6YoAeW9Wm2MIZ7ctxpILu/jNV1Gz+FXwyn8RPluuLBjlIlSjPDNA2R9AClBRoKatKmMtGa8jzhn6
VliC90UYfA3EPqS7od9P7ZVOXyTyGuBXjBoQtAC5ZXQewqGR+aSbdQYHtkmAmPHS+jnrUEcyeLTa
8LpTE/1S1/UsMtrhGrK2i+sE2TD9mAOWw5qokUZx7iND4wIjvO00ei1RXfRKzh8VprY6F4ox8oqD
d9FZ6iWLPXmziIpZtd4JJlD6vOsZDv5mhcka56nbMFzbL8YmCscDJs+DNBwqLclDdgVKUV8qB7FL
piu0NFfrZNQXQee1ySfAnzZrbLd+nWeHvYJNiTnNKKCr35CLgD8EU2jLobXsAuA5/JBLs25o5iFn
/R5A2soPfVzPsD9ifss8tCNz0fHRC0tvRExCTjYbfpinrvsUK7vC9cymoiPeSG7MAlMqWL8khVoJ
PVwWzUvdHRc0VReofgO8imNdt2jlUrSeUJd48obBne7lhu8KQdeTUJVaWTgfoJTBIsp3O1wbCHuo
bASKpxc5AidmGNb2Mdbm3I0NRU/NBr69DJMZxC2V/jIVmCq4QElLI7mpXPum6tzRI7QdgtvIMJ5k
wh8b9rmDnNUbcusla8sPIPLESq5FLSOZ5pi210DB8l/3k8lj2MxDV9Tg1ZIuM1CZB64YrOO9uHQJ
B6STTwYDmLrrLFArlq2Qn6fmoI0am5eqEoGsigVbBfQOXEJs0JldRxnNhwq92oDoCOP1P6ZxWm2I
iAjR9EMZjuAAHzmh4ISOCgIuxAdoF8Ctf9caJfAeAg8yLpj+jQE3AY+2xu1/h0M2JniOUzu4IlX1
Gr6EOqT14xuI7KmdCJm7dIdsqc9XdYmwul1SAB3DzqJgH27xtyrgZI2O0Htv2G+jP6XNJ1ixa6/O
hgQAnIfJlrdLhCMC5Xj+YGoACsnVjIZyvUHsCHFBbqrJjOK4gXXD28KR18r2C0vMYPsi7Gbjhktm
cHtbhlR5SicEoEys549sDlUTlREEtA27IMaMTkIf1czocTA7VONBIRkC9dibZSGgjrqmEJmhdVcp
KqZLG7D4SXBs5rh3TgEdtkB4mxxSL9MtQVkNa9B0pVqgBEqBHQwyudrQ+iUlh6meg52zPFUm84Mx
DcrYbSw47okuH1RiumcPqp85oxKmuCww2DslVDD9NzIIJAlAlV9rUcpoSuvCauhn1myjI0jRDbbd
n+r/i7Sp7B3ip+wJ+HRzJQlnuaCRuW595/pSsR4iMpuCoFZe99im6xKfR8QUxBkblAuydVjEcNQz
gbpyTdQywDRkxTe1ES5QWgPYsyOco6aY2eYepsZbVjQIXleiA8WEyFsVhkcdBXNf8D5Zv3gbXx3M
9BXyEh4S0YiwwJcoDF81AbGeTa3FaDBsnsU0olu/LtFO6Olk6lDYb5W37ogLOmo65JuoqwP8Y5Z7
h974CURDdEyHnJNAyjJwZDr5k4w/dbYLAFjGnFYyB6DYhJhQYzfd9ElETEFJaOYXSDIg58i0gvov
h9ZktGiQfAq9E8CtmwqTd58FI/rw6xVE4JotTMRlLKLuwqsQzDFBEA7TBzR/qoekhDozFckQpqDK
vLk+wk+BFxOvlZch8Go8wa0/trkBYPZlg5ACa4On98YjEve5qUPkIzAGQUprEaQ8QaQONB/fPYiq
AB62qrryUIanVwyXS30ft73euy5GmxM6mOhCI2+s+YISydyR2aB9kAvj15BvVt8q7ePJJ8u2QkbH
DZCRbWvWTDVkeU7W0NwtuqtxC7DXgbWOe4lqGvcwUYgwffABH8Iw3srl7AO0aIoFmp2PCwvgbwzF
FJyGoG0hm9Th48greZjpQF4iPflZGkMfWetug3Ng2lwGX5a7gdeTNgU1k4XZrBsg3E8bm9pzFWmo
5qZhg0y14suKy027XbKBaThXQ+zoAcwV+F/CYHgsKsssSq8HHwbc7iqG7JFV04imYHDTNTPKXFXU
h4GbhJWKDxBoqKdljWeooecBdwmVQvwKY3+CJAo04Lejt3e8UxIgCgI9tUPki+ApZDJibOoCB3oL
RRjgkrutBwKQbZFSUSkshH8FI31TbuOKv1OFkPlBztKrwjL1Y5lqONr5tOZIHHCfYlQLe7nOg1ZF
N9rkYQr1jAQdLwxHDAQNUKCeymvWcXqZ1J2IIV/iDikAPk8vPa+mX1zXiIvVUxMM81ObQ5tGP8Ot
YwbwH3Hq8iacWp3DKt+4wiyunbJOJzMvTd0kHeqvZt1l61MXHuZoCT94vFbrDZArwQAGyN5lner9
T00KJUbWQyByI6F8IWW8hA5DQUrhthg5QTpL77f1kwhXveQ4N9HVoT8vaiQ/JPtzi24XtgCGZlRy
ZIL17GWE+qPKrOk+samXL3qWMsOXiAB7hNITAq7KYsl3+lMF+3+F3mr1cg+dx7U2sB1NwF1eh8p4
Z91iUxe6EfHtbGZ5MYcjPCg6FlfABeKTx0nyAYhxE2MZVNEXRTeG5AIyPVjt6FlMiJvKW5sse7dG
ekh6BkA88TQlp4nVQ1RsqYfGqW/S9TiE1HYPcPE2iGLYpkJjqQf5yEJTon3xLwcna2gWF/+l5m59
SfnsZ2oyBJbOUCCHreM/IHcmBcIq5ucE7f7RD7j/RUIZ/0LwV8LMW/HgYEV4gRcouV4hPjgqO2PX
JeYzhNPznTLIhsqSWRIf+2C7SysPBnbtB/0R54FGZkkysQKJA5dA0byrZaT6Ywuwo0hWDCpI2xi2
bK19+cFLuuCxrVnQ5wFQ/bNSgw+KDgpQwdhXZ4D+61Io4EH6Cw4o0VskR8FnE79gopW9etDBJIPw
dm4RPrSWU5Lsmik9wpcN8cLq2n4E1wAiVN4GDhIfd1woPCS0YJKsc30mpu7b7QyBuZufebMu4ddw
CKQ4tTLp5yDngSazVyQ2DBaN4iWgsgHXBt1Gm/pNRAoIAv0NbWNCXJNrESFl7GzcChQTyUxreAiC
YUleo2GYUVRGJTokEC1xWJOwQJ8H/UThuaiqILQJoP2CTBptPNReDh5tbBrI64MQEtVaye9k9Fw8
FSBaISAsJ7UgAQxMalMJqJhUxXdxO9YgYpuOVVttZLy3LJkxwjRsjbT+IJOF27YAQZxg7oOVqVkR
vdTKychiWpDZ65dEMTONX4zYrO8y/BbVuHyRAVqybFM1KsOJw77ZpjkQ6/1OgqgiaXesq9XG40fk
Xmw0zBqe7DlL0OjH0XrpzRMG5ssWYSJdhDy2NInt4c/03O8MOVhDKECQ6LhrDkCTw535OzcHqCyZ
CdwL33updm+TfdO4sHDQIMoRixUYSNIsWT0YMJoWFN0/XMDvdPN+ARAKwLyLkHywhCCFfr+AJnTw
RlVN/E28XUD/pjzpRdphxXkSvNgb//v/aQ7/Mdf436kMu5kEopP/0QL8Lc/hw3eEPw3zXxMgfv2d
f8evYvPDh88gHorwxuCC+lf8KvuvYFd/gOOGxtgPI3zSb/GrFKKQGOYhRPJiCYC0/Rm/Sv8LzLAP
nQ6822/J1f9Ks/il7vlT/Oo7tn3/HgUkQ+zEPj4ENpd3aznxrYEnKYFRN0GT3dd1krXV+E9GxX1B
/oXNhjYH6gF/zyJlKbw5751e3ECkBw6Jn0w7DD7a5zTJkpXL12FGfmEP9c+520ZEQ8FWqT795X38
uuO/hjHs7+tvHx5GBJ5zPLa/CwqQVtmtDFFIMGemUkDNPyFacEU6aR8S8YAmQH6uILyDcnhoWIH2
rPm+QrA7lJGOWNFpHN8OEV3H2SZdzhB+iCgpWd9O8LvAB91xaFKdVuVUVdu1mWL+0EfdUvwfbmIP
kfVhWg+xkN5teaKDfUzZUvDqK8VJLrdD7/XBuYkXB/UswWwO+SorPYQY5T7ZdaMpYibhenS4Phzj
d9FA1zuJEysjdmuOaVpvB5uI7rzCXXtIAP88IbZiPrhhmxHY2Q/N8c/38HvVCn8uAkhxIC0C7YCv
kXgnkoESGLGO8ZKeGobQME02WHzQjRxj2f748yftoqn3yw3yGMShJPu36ryvj6EFr6h8fJJFvNIJ
KVt4eVEyXuiZjfdog//JdP5uE/28M3zXErCyPREWoo3f6zH1EbvYex0+r2r0PSoK2mKDPKU/39V/
eH4QIAaQxUMNSNl7B2iqUS66xUtOmi7NMcFTUyxtoFFPnv78QT8zXN49vxBqNBSmvS78rSi0FRJo
FqzBEwXkdd7iiYKCwJrBbL8Urt+tJ34dTcgHmcWDswjTUzBkF6Bm+UNthu2yRx9/r92euBTZcMqU
3xCEKvpsO1XgsS4kct6ODdbms63iweVsI4GHBgABi6Bi8SGrCmjpg2I+TTSaPi7R1pz+fJNv+Q6/
3SW+Ge7nt/vBUouvBwj3Y/4vQkdOeYdZU6+nBc5KWCQx1sHiM509mEsPUkw0i5j8sXbaK0IBhBGL
tz0huRSgt6/mA7pEALmiWTB1ASUdEfX50YdO9SZMXfAaL33/MRwRvOgv9NFP+xHYIdgxGHp490SJ
gFxjwxcbzrZen9FL0AJfO+iOAhmP8GC9opyJUzSH4W1laHhCAAZSmqK0PvWK05Ih8AZmG4w5Mmyg
iEX673FiMnlCgFZ7bj1Exw3+WKMBrPhXxNxFeY/Yp3OgNnurgIiOsNjFwVWfjN3R8igslQX2FwUK
CbQmkrC8+5AKCS0FgMch78YBTh+InG+Rl+G+OTS2ED3Uc1mJmR1DHmC6aqOaAo9QUeHFW3Af1ow8
KTP1H+OqFj+UX8sVtpTUuRxWhwEYqCQsk0O9vsTJIIq4p/qExOXu3Lp2vdqgLr+NkF9XzEkDpT7r
m+XWzMP4ZWi78DM0CaWHdMq85uK7J7zk2hs6rwiqBr6sGBqAPsJVR/5YCpqeoaIeML4pnlEgOTOc
IdrLvHg4EtVe7c+zkF2rcoaI2GySy5T5PfsU1qBagrUm50ogOQhqFvfsdWKm+FOy3fjIwkSeGgia
kuB8yYFtsyMgquQMjpd91jya7lo8p+E8E5PmI1TKTyKAygWzsrYdYqNHxj7LUcuDqKm3Wx2SPgOm
o58xtRtot9YFr2ZtM4R4V6fFmUNds3vKe1OittnzDB4wc946J7Ax0G9M451roCb3TnfXDQ/r3Fus
KGzVmcJwobO6n02uCQIMKSImSRUEyKRcq8ehra55Fb2i/ycn5N6QB+5vAM509BGQ8mfaQ1SyIC8U
ftYo/TCHHBZArf2reDXLxRAKWMzstuY9YVVm2hF8tiUcQLBXo0QZxJH2A3gSRKFdekmFTIcJVB4k
mPyTh9RYXMzKDzUVyIgV4CwyRJ1YLC67xAWOIXFoqiQaCkiNmgKaQHrU0+RdhpuUV2C8CITwofvc
LhO5N80UJ9ngELqTAXZWtxtgPpSpyR8vHSye5xoZfScfloZTLLFdIs8h0S9LYb8SpkTkZJ0hnmZE
iGjN9xRnoHE2qF5a7ptv0Ji7F2b1cgFm2SLdMJ0zW6ngShMPOoFZ8Bx5jPZswCbceg5xU6YDrQf2
u40n/zw0abyNhT9GQAtI1cPYuq3PgSXDgRGKmVBUqgw6GeStM6CXGEL6/GgcruDJnjJM53MWSvxf
WOaEKppoHS9ShTTCSBo0+1EyAbwn4sBb637YGZL0G9i/uoIrNAXIuIe1A5mzhaI9UqcrnBz+Bjie
EqNKYhda4o71RQx2slwgvClojeSTbSbTxw3GzVuKjXrjGjJC38cRCwV5nbTfoc5firQj28m1rf5a
A9c7RLKJP9SAzOEljf0nj6C/6CQSO4VY0J1YtHxSAm+IqrTF1f206BsfVsiVROKhq4LxBdGXohAE
BG/joS/0QuWOHYio8xKM4qCq1HyA8K07j0B3vm1eTU6QT6P2aNzkqNB+RZ3kF1sa4LocUyA7Nn4R
g2s6uoXFfh6xECGOUIqUqba4c9HUtynplyI0jJbjvNESIEV1u8WKTxngZfwdmnbTxyqKQshYENC7
CAOg2FpkYHIvApIzs3ir8lm0YckQaXbrozDkG0yIR4XMzhPEkF2exgYCGBgMcsWjNEMfqS8sEmyQ
p1q7H+iB7YcG2HXJJB0vWoepOkNvQ48+6ccjH7zwEmo278HhA+qfMbTZxmOEH4euDl8XhNFCQxEh
eBnpH/gnUZkHTRDLrPeAZpKEl5PwWygERnmcWgpHEvpFdhmu5DiPKAq+NuwGekekP+850AiujnLb
tfVB7knRcjBPPscku8wzPBgCsZ1xQ+40HyBpAP5sjyCQkDyNxx+LrzpIxvpKT/1/s3dm220b2Rp+
ImRhHm45kyIpUZZlyTdYsmRjBgpDAQU8/flApzu20rFXn+teyY2dSCSGqtr73/+AO3U6OnhyqlKO
i66Aj9BYJnySICxgJNlqxCK69E07PkNQVMX03bDofw3rbxpWpG36LxvWUwIxlX+FSH5sWv/8uT+b
Vt//AzGCYRumBYf+e2f6Z9MakPIGCIRejPr0z27V+qs7tUi7RAVCTwnjFPWN4/83boPv+0aKMspp
sgsgvJPa8d6sTeqdH1MhRXsmadNJL+gWrHSgqrQBOowVIurmVdFcvoLQhodfF4ggTu/aCHpjTBOB
eFz6d1t33pX1icecOBNttseodTp5UTZtNLOFpToVpEw4HftPVyNJWZi4daQLox4ze9FziB8rFO8f
p1AyZIVkYEZ4GsK9gSgwVs0yC2nEmsSm6mHu/DyJjJEMY59E4jSQeKMEwhZsBkY3nXAu0K91UQil
EMOsc49Vwlcv9Wfj0CSBbBmjDF2k4EX3M163RNeptv4wqDuW47QRbDCsfJuS21FzNV6q8sjXdMpF
iPHJi4VV1obOOVuVUrP2oxxTY+HGtlbimIpfrWw+GOEktYM/25pTcPCU3iBgRe5mCDzNfNR7nALW
hYxUk7IdaM5zTJUHiy8YoFzcVB2dt7UY8JIZ7mrTk/Hslz5EZ/Dl2KfKHo3ofoh0d6PnWVHbiyQq
dH9jMhPRV2zwlrM37Pn/jIw48J4UXo7l1q11F5YY4ooFQmSsvcEivWhlDD5ezUsjY1vGJLxwQxqc
RV1GX4ppjG57b6zWFV0nw0p8IOf5W+0/TVJ12hpHS7UeytrbSndadfwJQW/fvDpp3Z89P9XbZaaj
B85x5rlMiVmthjDsn5r8EvjgkUVT6Cej9fMto3jRMCJhA3XrG5T1m9quxV0dZyYvjPBQwknoD9oY
hJfeHdXHTDgzCg7j1cvLeAmoDtOHieBXrVTpPZiMwoVA1SuIzHQMaPD3HSLv59SZSXo4FK4Sj4gX
5hTdwQ7zHd4g+X2cp9mlZ7pCFoYWeUt8g7aaMbgHSDN0++ODR0oHjIkgaL84FT1bkcXeSllWAmuJ
IgVWWnHj6XkL6gtQTp+Sf6x6t1yQXhFv4fAFr26UzQ1N2KR3PXJPKESGg92EGPVzMPpYFnapoR3K
2OWnRr3ULzhPgIWTsfMIBRUDfGE+u24koqVpZ6+J6RqP7hzdYjNN22A/bM9ld89YVRHrYQ1fw7D1
XyaIMOtAYAq4YE/oXmA0rNMpgRAZD/YiE8NNb3MC5xBSNvjkWAW1RoicMrKzfRUY7imsPONZobJl
9lbC5DGh9MCFz6HdjcFS2lWLcUwV3ZKYQfsDa+BmiEd1zhEs74pIOBeSWrCr6EX6VJdx+swTzbdK
SetGVlO+k2Upztlk568i6txwGTaRd0gaa7qrna4/Ft2ctpIIA+E2fuL3Y9qhkIc2zbZiqeTkI+q8
BJPuwpBjSexy1YTaQvgJPHs3sm6lL9tjD+vqk2p1yAeI5zHiz/rk1MVZ/SAzOXxI8BY4WFlU0h8l
wXNlj+lj07vdTedUgYaIy0txq/Mmc2NgXMhQPAj3AkHztsMhbQWLwN80de98c/qm3gLijJ9USvEY
Bdq+zESxp/4/YRWODkHG+mIIsC43ymhvBuJmhE67xFlhQWaJfIMfYeKEVeY7PVJqUTqiWhlMTbdN
AgudIlNB+nLrLwLG/41eDxBIbSYabmkPl7Ry6nMMZx3femldsKAYnySO6a+YGfcXbkh4C49Ufpq8
0Vj29oBIpe26VVWodDfkdrrFRd9lsCmr7CNOC/mWx85q0YZ6E3iZeLM0t9tOOMS1CxXqzMVcZeMl
3uD9Y/QlquBidJep2ccLv3XMb9NMQ1vgASh5lcdqhSHNg8Cp5hSHxR1zquBsVmb0NMtTthMDb7Tz
o9YvGNDoJzfJ9FPQZcFZqwrzMqoe8ojRjsERN5h8G+TqNq8lVHGDhXqQMrJXkx2g8A+HTu3R6EQH
gUXWijaIcY+0ypOsO8bJFltNmZc3Ggk2B7O2jQ/uiNvDkuFRuGxrd3yN00E1XLSPO7ps03SH4rz+
wqyXejvNDpwlwTqsK/NzKvtkn7cOHv24jD8YTdreR17nnU0SPaCO1+B0cszqj20pg7NyvOnUt0J7
EZVECWoYw32eVPCLWD3esRwGAAKtwh8zi2pnV5bOAD+g6Ldha/Rn2hPrYOZmufGTun4cGBLf0cKF
q9Hupy0TovjCySae3UBWX/yu9L6NSdblEJuoFnEoeYNJn67tZAow5xCbofLlDaxPZ+Xh9ovHMN8T
1VCr7X0jY0ytt3n/Ah3YyJe9CdV+6U5aeshju34M0WKvK09Ue98pEho4N82+lViNbFpIf5/w7HPd
NRSi4osVRf62rGEsSrT0N71faoucoeMeA7hdIDPYglBHOU9yu8vPna0Ht6lftKfMGLs1c8nqUFda
dwo74nygVjnnIYeSpPWl/ATED+lVBH0LjQxix6K1BnkRUQs9RgvGr7olc7kI0FCXi4B7fJMPnYa9
k+M+10nF1pNplY3Fi5aW86YtXCQKYbjGYKy69bLSOid6WLIt9eMq8/PRWKSh42MATxAp78SQWHQ3
cO8L0Jmlqjz/hd5LbBD9v9hQY09aVDof/Ag1AYCydRwga7ANjuYd7FsdwW95mh/goc4tYwudZ9mP
KK2CtDZP0u/SfWRWDNPjsrqrMP746PldD1cdPU5dVw6NK4JylMTW2nc5HPMMKgOTK7EfEahfGG/Z
rzSmcLeNTkyM8Pvgg+GkAlvp1tzA+TEenDCN7WWhCfsuC+uZLtqr4JJHpbcdYg7ZQbeOkFcHHnth
66daN06d7apD0Jk+HiRa/RU7fLNbYKgT7MKu9nYeYrVlm7dQ9cOxvRNTLu6yUdS7NDbNnWLAt5wc
UkOGYQomLB8a7xO1gPmgrCCF6upY3je/0ORzwUBlE2biyalzXEzS4ELr06Zcn95Rdwx+uzPZ8qJF
yhz5QPoEXvylSXoFFqyYYnlaPb0moimQ7sOIh02tAPI53sbMj3g17ZZxe+bchdSmGyPhsJZuhlPW
4DceDGIo+ulSsQmfrUjWq7ZuHkkhKm77obfxAwNq3XLelZvelhl5Hdq40eC17AjjITTF8BSngpc8
U6C5LaCPTwEyMrgRabgEygtMRDyNke0hgRlL3uz8bqhEHy8bW6VkSegV5WvfjutMy4Z75sAQV0il
2bv6WN52WT2wTiy34eUIGF82U7y27czcZjrbCrNOimk4ygrmiakPH3o9jz4SY5R/RHflbzAwwJHX
Cev6VmRdcDNlLtVK5IR7Gl9ZLCI9hX2aVZxgQEjhPpF9M61UZKWHtAtgIiW9kcD2jIJqV9Rm1H61
ChCaIFtkuDD4cFrh05FalK2A1RpiduL64mqtdbLtZjwHdWOsoOjS7Ee1OuDGOK0jCv+nyfVvUtt9
AJQdVtJEhYFOnau0D0XmGZ8TxjoLvDyIWaL5pyQr3CeAInOP8wRMsiEGO5YaNGNremni8UviaRdf
QG0L4t5dES6CsUKd6MuqK4etbmkE3zj5UtEi3CS5Uazxq/3IY7E2cvRRJLQoMa2c4kbLk1tIStap
dexno4WFrXo4NlEG6RgxRrMURc6Nmc2fcsLdFjhQ4pPu2eUB8bK1KaW/AZceD37S38ajbT5asLqz
pa/w7NXdstnM/KXlhKnaMsyktSIxpVtUMDIIoIHmnKTWM8FUaku4jVgSQrdFIOLdKjfOCGkps1PJ
6/dCAseaWXb4UHStuxOQfBAUtPopJtcH8HKwlwgPOOZwwN4nwvM3pC9NCGUYuo22xNez6qIzdsOc
7Gigbxno5avUz9fJ1BX0CaLplq7w2sWvW8O/t6Wu6TAZmQezrk9/+PPkIA5t6Ecw2/cp/mWUcMoL
D83ks0s7MnMxTijpSKmlSo5sgLpff/j7MRA6N9NlhoRI2rFcI3j34QwN4NVPItkbqmpeJzwQjiLJ
41s/C7L7X3/U+7kWH2Uh67KMufuFPfPuozAzS9EeFHyUMOtyzRrBQqUkAfTrrz/nnWG9c7XgtmFU
ADjg9/A3dw38RgmMy7xoL0U4bmI86/auZM6Zkzl7xzgmC459EGPLOtrFi/AiOuphiuJbaFtzcx3G
fLvrV/offvQ7/AjojzfunwkP56/9y18p5d/jZq8/8id0ZBj2HzpDQwb9V5fgv7IrNB7uvyEj2/yD
+SKeHq6JtbkBYPRvgoNF9CzO3UznGKiaZNe6/w2EBGT1M4yjo/6ZPwYgCRYGm8m7tzju4BNBNLRO
Xth6j+NgO3viqbRm4Uyw0sa4qEkxEtWBtVYbi8qo+zUJn+0ajlK+lWZbk/elS/PJiafsjASiiW9q
pKX20hS1clayscdHq7f7py4rmlUXjdMiRsSjlkGPVm0hurRbse0RzAcR0biXVls9l33Y305NECqo
TeUg4aE23gSlsBk2SWHjs8BAB8Q56+XCE2O3dQO+IjbGqcKeMqpsionRUneQzDx3E0MLjHasrkmu
ZkbXl1RSxCzyMcveaqqJW0SPfUFXWajbMMQ1YB4Mcu0FVF10GQi9vH01Nva0mQyJ0xryQ/6r1TrC
PEg/GsEvoMbvI8S/OJAUowIP4gtW5LxNGmOruiC1yfRFdQnIL7uf0qy/rXN255SUsBVqfh/fprbq
t+lAAAbqwLJeplAYoh0qELAwX2blChMd1QmCD8yPnRCdNwlAFr3q6l1oOIS8YQwRWd6WXZYhqdck
+qSvFNTfEjlL6aszOHxRGnAxem1vt0YlUV9FdUwnB5OqLDPyBTBpV5+wg7db677PygyPB9fg5HOS
sFfnrO4hG2N/kDT4IVZRU2wEmARjLbgzbrR0tDgNb0Nj1DZ9WBkkSiErtth/agnR+0i4cE/wG9gU
6l69HYzwxsQ9LVzVdtvPL4437SZqJLr9q8l4Vri4UB+6Tkqhn42xSDsLUVzb9sNULLLBHFrjKWKD
M6dnlcwiurduqLuiAISfpjy8/G/DuwZ1/27D022fyf8/b3inF4qzl/LtJ7T8+w/9i+LFhoU3CsYv
uq3rM8PpL4pXQFa27lhAyfBDfsLMyd5md4MgauPaO/t8/LUBen/4OBgZ2Pl6Mz2M//RfMLzm7e1H
mkOg69e9VEdSAiL/nq2IWXjaFHE27bzIcKZF2NvlMVJQLwoD/VcEUXv5w+35D4Srv1UN143dBy/n
m+NK/I6qhNAFy9HJHXdKpbBhtL5futgg/IZNxPnw/rJ8UmNmQir0Ocqhn2uwzml13OZj9Z3ewwip
vlD5k0zn2Qw2tWGe/TKktOtUu28HT3389UXi5/23LwBpb46QwT+GZ/w+ZAcuE5Xx6HW7Cjc7RHo4
N22Qqek7vOD9oyLc5qBS1bQIdD08KkRoMVNsRKKhGeNA/UCPSLdThf54aulXyQk0cGrwMQvYYBnK
/8uEHyDIyjUSAxWKVKrLsJ3ZXP44fqu7Mbu3Uj8DRvOnXWw7DCQ9tz4UrlM/hUmNJWFfgPiLiK2F
LXoWfHE6MpHEEP0BsYQ4N0NmPJiKSWtnMaAc3Fa8+EVBr8FePX6L25khVub9Yy6h67SIcI9IjYn2
CBPfgKfLoCNmh/6MjaJ4NnDE0JcDqOOxrSndqPLC+6D3ChxaW6FXe24VRjrRbPiFEwMFxNZEt4mn
xkwv8gDVH8ZqRL9N/MqtU0/zEIUwDqQGACzCg1dVIfSCOe8N3TLtGJ62uCtibaySXTjPcK0waQ4Z
AphLW3RMgaWn6ADgL13nugje+8dUL/rHOp3cDzwd5r8t0+fSpJuSDNVfx4o5dQQESH5iOX6Mu7B6
ljo5TcyWS33nDgFraGDOZHVlcHQNLdnVGCZ8GyTcEL3hR0a9aT+5FfLzUEX2vo46cpnzqf2UEkV1
xEYtOBYFPO8ZJLHTBXYsnJ6unGha8xwGoWB0jHGAua5qM7sXbhxgXxjNWCSVvh3yxyiD0bSMmOJG
OwAj6AHY6b4ifRs/+lo3bt1E5nusNMR59GYalSQfe9UifgMgcpmci5n/18HLX3kATkwFwuw+Gsjg
cf24PtvIXvEWjfqvGa775MnAwChyXWfTMKrPiar7xzBgFIY2iF81j5aIDGKKrbjigGDZc5jNi12r
nVvMIPolcdvm2rVTvJ2DmNjSLONVvE6wjAyy05iY9m2EsdL6yg6wEVutCg1u/ionpunbAC+CmNHA
WaohTNNVxwCrXFVxiFRWD+tXmJLTqQSh/2gORbJFVAac0UAU0LKye2PwbjwkNi15HOXT5jqWbyOe
I7URt3p+RfNS9V+RY2SbKRvncxwDISjm1bi1Dd5/ii/xnEf0dnmbPQ9aKw9xAo4S+d/g9MBnSzRE
uBiZFuY+bp3Puol5homq6DEyeTcXJhOqralXTDXs/DOG4P3XzvbEWaQOL6Uy+6WKeVAu+qhNWNvi
VhSWTRTl4NzKkbThMmmJHSc0+LPWwYa7zvMaE9KsVTjjTYrP6wflj8AWgDQw5MsBHqvvwddKwJ8X
QcNQ73pxfswiaEEJ71GdldSi+DmeBn9sP4lWg79XdYYPn4V3z+iM8IAlHRGYg57sugp2MunnCuN6
7L9eIfnNErwik9htYxf0ZCQ0Zqk+wjt1EfydO9eMfPMTnShDuOe+gm31mmBH8ZwYJcHq0DGnkqCC
btLKNZZcgzyhMyfgcogsad9b2TguapgBH+kziXNxZVwucC5qVoyN3A3vIX5yHXU+qlzVsTXJ8iwr
AClE/cHB1rI7WCvahdTWe82RmB2JYuPHnnOZmrkz95R1bpzoQ+iE5wJt2ArIKSKRdIr3hZl9BCUx
1jIP5VragDA+RCu7l2+ws4q9VkZoQ+x4H08urAVDimNV9MM6d9CttHjQvyHEqtdR0qJpqsNNPjTG
Ae/aYGWMjYcBsxOtmHUlZ3uyx5MWiH5Ehhce8Pc9aJmoVwkUO2KJg7De26aer0xNobDR8QjB6YHE
kiLPv0WEXvvwQoA3ZWvDo7PL+7H0krWJ/vQmjSOiPN102LgxC7ZOC+MmGUO1lkTb7CdsjJem0et7
nbiJHXkM41J0lr+uBpgdwoJ71pdwRGKAtCVuW/rNgP/5TkbGB+Shwca1vZYYbrxZ1yb3/hU1yOAu
nTpASVpMPMNFlHf9zhSJh3QPiVIVNkfZmtjDQDTaR0NAMnweuPj6YCK4GsP21aoGuY2AefMF/Fwf
IwGOudhUHcZUbn1vOSTFGl3WokSWsSITWUsXga8++07PfMzK1E2J7h8eYpY9Iw6rPLwy3HGLhI5w
Pc9llkhsHab6vW1RIcL7pToDQpxB2r1gf6XzYxOJF3UmoOsK1tXJzltxM0zhtK5M3dybSrQrK45Z
Ve0aQXG9KGdHw7EznINwG/VxGqyUgXuBir4tmTytrF6rDkbjTi84nDh7cyymB8RAVbQ02mCnGA7t
8d0Y73AWmlY99IBDVgiIl2Ze8Lpn/SLHqGMNUdq+eK1NDlE4GiB2zVBAu/I3tdYXay3ApmnAlBaZ
mJU+eW6ULBADDRs7HPuFRGS8qWMyYGVUXHJD4yxH27hPEktZ+L/3q0iLgsfcj4xtnvDGQ3GN936P
9W4whPapwrUH77RBuy+Qup6xsR4PRMFBSCLxJLbXBM4WX9EDn+Nw8o6B6uAK2QPCUdKMTWdV2HF2
Eu1k7EWMU9GSIPfmJp9C6xm7HJS0noOlBGPXvL2Jxyjzl6mR6l9FURT5yvZKVzGChEg31TWmEoXW
bHFrcZ6HXML/g62VHm28jV4LC4s15u3MjKKFURqR8xz0OikVMd7bC6aTLfx1ReayFzv9lyo1GKlj
tE1dIOqLUl2+cknUqtZ+XyQ3msqhY6LwSj1evyJm3Nw3x6BG5gW9sEVJg8drslOlH7bLNKmcW4LE
k90Ul+KLKXytRfQ6ZvOz0eFwUCJdSWx5bkw7hvTlMTDBKokH6d6YWw5iGQ0mIgQdejHQALvwtzLP
SaYatfBeZN68BjLKBC/URbiKHCj8XpwUyzoWzu2UJNq9VgnB5SZWvJFIh4kdh+HFCGcs4hXTDfEF
de4k1jHWH+cr0w8b8frwvfhCvG88IHpu3+jMU39lYqlLnVzMeb9qHGF5J8L9oHDNgFNIwYhks4em
wvSDOCnPLY85AsCdTXO7ws+ZzbhJ4b0UgIPhKnZaDnd8nrX7cibqJRja3+JAD7PEccU5mq7fIqif
mL5SlgLiz5vyVIzfupSaBI4k5UlQ18Yd22D5Zgm36ldahE1HS5l4YACOzLpo+DrjTCWIccSCbQhr
BN6NBtJ6JQcR7zPe6H3K9ct+WAGUjNuKYutZtJD+MXOn/MWiAP2pyvdmyyXMxi0PjILHb/4okq2a
wgqrBrIfjGQAQhmBfswFyV35Hipx/b3n/scwSONvQLKO5Z0Jyd5zDLCw91iurCw0hWnd7WysHmPG
k9K5vVIxSeEIDyMKbmJ6uJou0tWdF1VkNbWOtZu66jPjN14GBLyH1urHG8zm6icpbfuWNHX1caDK
3fy64zHe4Wj0OIbrk/tquWgqIMy/w9GIdsw87BvbnZYwZunb0v0wMr5fYssOEit50mz/PFSj5y3L
uhbFMWfDIStV9ZIKalWPoLfTr7/Utc37ubtFD2GSH8WX8uy/NZsMuHguSdTugKBqa4mjZrhqfVkf
p0GDbIAb0ortcFqPlsVmHyLwfEoxiNgSRenjmNcjAIJcerByd9rJ0KnewNK9iw81BcuYeppdrmaL
ks7RfgPjv/MeBfPmdn5/+t4s6Lhi4j/IDxqT2JcI//5dpMH6DHH0n1shr1zWad1c8MOjtWMgtepZ
lJ/bcU4JgaEUrmTn/LaZ/Q9fBnNlH/BiDhZ2vfcCLZI5LJGPAwlUNWfa6CUiXddFMG6qUbE7JSV0
X6xhvvXm2O+wPYo2oL0vfio+DWVkrRP8pNaaM0T4nhTVqW9M+7lHW3tKJiu70fXC+gzPJ1YnEr7K
/qZBZrYnTS1b6czyNwm8oS1WJ+kuChLnVjdiXEmQ69+rvCCUHOXzpoRTcWPHVPNNLfF/mncYk+Dz
+z5q3A+a443fABl1Z2GSDI/FQMsei582de9AFJ6UbGBxCKULSfFEX4I7CD7+2ASUGLoU7MTXWh2O
YX0p83reU4K5bM8o6IMC/YqtJ4x1rEys4avD8WFqckxhRqAEAXLAp6l/jCYtImLXMfPPjcUU6IC5
jdcf63CIuEkJw15NweZaO1EW60sprDDXdpaVSjygHJMoenvFBZXmIxFWBhM/S2R7z53yaJ9R0qzC
af6LOTogXOktM5RlmBAc2WPx5Js3BJ22bySOK8FpTE3f6DGkEazbuOKoDKq1YhOOoS1QynvK0Jl5
U+Rf1VF032yxvt1+0lNaTRM99LJ1NHiKRSCmE/5jxZJQF/FlTGVGpkuXbCFAsbazgdUxdTQU6MXl
Y5fkn72G/nFShnj2h9xCLj4mmM7N9y7IBj85TBM3n0NHu8dq1rpOlS6Z1SfbEAJaufSdLodh5Fcv
CgrJiz3it9PBFsGpi3SyjcVQ9o5O1D+ONcalcqDpd/Oy/YQ0pf2kyAPYo7GuPndzb1fGQb5E89Aj
y59y2FJjPkjsfiL4ZG1K11J6FvSwxLsUViMfdUOaa7NECujMdHHdpsMSBt3zqiknToAOvPeTObPe
6zoX585LPHYTm52NNCZ/hfCZzii07c5DkjOxRlpdInTEXxEJiz7Vr1WJJI9gknzR0h0SJAtHHXpc
fagFUYOURBw5KpiP0FkgvnFGhpZ5YdZPw+j5R2MAZiG7KThGhmgOyeiVRzfixjUcoNtSN51l5Zf9
o48CE6/9EXnYjAChfRbnIgMfwkoYhICwsm8+q3QCC5/Ec+YWd73yBEr3jnYbYdytUcKnLwZQc8Pm
l5baXDjP31rBSjIWPjqkOZ1lfgbWkO+Neamq+azRYfnjdMlW5dRKblRTpC7BiegLoBeBjMxk1ETp
NPCxshHhwUDEMwqV9tv1LBZlhCgIrGe8ySyfV5WiF1zHQmQGsMrV5R6qhMgdT2jD/eP1NTQVEAyv
d63vlNTG01U4ZrVjfbkiPqXF64PRMPQPuKPwu+iCcwiU5HBTUGFu7h8l2qflFR7QIo3bYNd0tgCO
3PoZyJsSf0TmBSAE0/Jbg6PhicQYag1FjiASJgUW5kPvRceusns8JhUOKVAk6FMoyWQFlYLRAOBc
iS3qAodftJYTV6QTWgKIM7EEqwDZpQl5H/gv09EHSK1aE6kEnAFwN6xJSGR/UYVza2au84GCR8ch
xu3bTx0KHSxJ7ax+wi4HoMxhOvAa4Rm5bvVu/Eg8MbgNGS57bZZeoCdgW6OjDw9XpEbzqS18jpsG
B8+E31SYgD01Ci6Ix3z8Fb+5HtgqA7stq9jea7r2lTzquVzGyHlY5gXF0lV78v3VTIAuhQ00VM6k
Uoz0mUzP0pManebR79r6qTLA0Iw2AlOTc61MlGgMSYFOaxnpHZs7/Oq3Kg+qzyriwEMNFBwHj322
GmJuIVOo5hVDTB5Ilklj3dI+rVuX8rxLWdPz+1w38zbcMuS6yVvSRzAL9ah5s4Yf50AnCRK6+UM8
o97USPMpQIP22fB5JexJtm+yDqsXsuWiW4wkgY1I9VpCrqEBYCda4FGcrcIZ/bqWt/6soY0YJN0X
iK02E94LKxer/4fr2WDMwhrGZzFcLN6mdAZRe82xb71Iw4AHgrR/rANKInjj5gPim34ZFDb4WUUl
bNMOL2M3hWqI+ecikTzIAIB4P+Z6eZwsWR5xXsz3xfwMYkqE57YdGrFpporifDDYzfC0ZdpJmSwy
8Dm9ys2Hq6o3ZB97QggsnpFGhwfwC3d5hQQJnbL3vok+MyrjAWNDSpCW3UQwo4RpFBGAsakrRaHU
0ewULOxtB2l4V8McQtSl99Xn3NQAqJlrPVpJSKvQUThbLlIVVJyInMh9xtJt3mYVss8tyNF401R2
9ImuHgoKPLq5n2gVKFTDdLMBtPko5sEZuVBAFn3bczMhVm6hxiDQCSxOLbcX9HgW75pGboMi4O+z
iT13AqnXqSFX5YCI81Y56/PXTWZlt5Nv4uHuQh/vSfNbWxCsabuATFiTDeh02XnjyYPa+GDVnvzq
kY+07fjqi5Ji0yJumCZEIG360iJrcVBfTcgWSxYZfszxremVn/ve4a7N0cx7nFNZKj3MJxAQyCBl
P9RPVCWpvZBqhLUGnTagbpFOch40nU2WgOT+EQdIqtkR5l4veeCjn00nhDnh/fWP14XJxJAjRjMk
PHVswu4Fh8oe1Zy6UyakLozckm0FOWttJVS4ESYgGGYT7HdrC2/CYMNJppNwJzqywRs3qs2+SXuq
cI5sUWFdgWKvFZ9tk850mKuAEfs0wqzMSW4BErhi9LK4gO+kbz9PTRSvJoAcJEVsIbhe8mFZJf0D
ZnTVd/rN/7gZvxlVYqBJz/XPk0pOwap5eat+nFR+/5l/cTN0WBd4wyB2ZrBNwf+XF4WhB39AumAW
id9EYKIx/4uqYfzB0rDo+TAxJxplFv786UVhuX+gkGEIhtAH4Ixf8t9MKu15ZvdDM4d2hLkn3nce
8nYapPcpE3oRC52IRe0Gp6Y6DTaojPxRPjU9WGdzYHqDIodV7/sxcra2YwUfrSAvsMovAtvxZp3k
aIvoMHuGZdap1HAJxIMU/zGogcz58yZptzJLOxVuMz9xkuToRENPYzjxt6HcEfDFZ33UHRYp2FIk
C6nio9EDuE8wyH1PW8S+NixxUMU+9YCjBjqcjEooAblGEaI/o+Cdo8jdDlToA8HKjGvWvh0N9JSx
knFwmyTdeoBJizi18IFal44s8RbPZUOS8wJFUDjnj1Y1uP71XfjfqvnNqrEc3+Y9/+dl8+kF9mAZ
dVX548L588f+tXIM3nQD0Nl1aJAdx4Yy8KcgzjDtPzwkYqymeWX8y8CF5aSbNl0+P3TVy/170djO
Hw6cJ4v49DlOHZXdf7No+Igf1gyi0QBQ5rouDZYmi/fnOfhUTTN7VLqXos+LaVkmSl5IKenchRrq
9vMPN+bu+1L80UvlZ7zq+mGsd9wsdVgLXK7584dFjrKpjDv7EmuMfDGuYmiLc+JjlnSNy3hZF88R
zkkvQZ82u//HRzMU0n02G4S679CnRMsMmjvDvkwwoZ5LQsqCdT8y2F97kkmf5SsDEZ3ecEC3sJKS
76vnH6G6+df/tTXNVw7KhCeGj6CLB/f+400roY9Oc+uSk7ebUBD1XY3aAqj1kFTzx6nZdfzXl/y3
gPTrh/KqIIAEKwKh+fl2l6IMZSQC8+JQMz2UpAHtzYITG6vfIHgUtMpHCL58OJF2EA1i+rg3d45Q
zzXmccsaSfYWtmSqdi35rOGa/tt+cX0obQRt9Lpx00O3NFbJBI170QokQSuVl5b1G0LIbKTx/t65
QJwQVx0DbuA7qoY/oOlQXmxeDKnxrsjc3qtcZmrjt1AR2DurG/wVWxg4/17E/+Fd/Zkg8v2J4bcU
oKOez6z3cKWr6V6qnMa4pEbPMFXDv6T2yvibnkIVGY1J3Tu2MM6ORxGPuBLR/a8//+8LEwoPwJ7n
6gHvzfu10gcBjomkakAhd9V9Mi+YMZDqLupr4zeRbe/gu+u1QtJlZWF6A0/3veEN04uu1HVpXGyc
fu5xVmD40SdzOElI6OYbYgDyH3R3Xp06nBLh0SAwNqZBTdFs/uZx/6cLxxWN3dLwKArev7UmHrlB
rYd4MiAvr5e2F+bV0ewKsKikZGD869v8nxbJ7JHFuuQfzzFnOtIPOKohUj3RrN5EYtiBkZK8QT4F
IsUbiRjhpmhSe2/1bXVT1wlvOdMz41z0OF8skbpqw8JIpwoZVa/u0SupaE28Dqa6WR+sjc5Vd3Hc
U7mXY8oqc/xSDQd4yDLf/PoioLT+bYl4Js8Pfx/IYryxP19EShw5Xu6BcQnDVCc902ua3fW9UV0h
npum0EAsBva9kRtYYAjKsBklKyONoN6JkeH64v/YO6/tuJFs234ReiDg8ZpIwzRMWlHmBYMSJXgb
ACKArz8TZBtV9bldt99P9SjbEhMJBMLsvdZcWeGAc1nUUvZbEZvyjWwE/fifr/N/u0wUV0QEIgVx
XPNPl2ngnZw86pMPLmcbXNjrbaYghfrHRLDQwcr6i5G9rqB/mDs8k7I+IjlOZy7KoD9/YjUkVm4W
s3xQMBXP7lC5r3Go178QhLoZzfWUSJXI28RZDKaa3g+iAUxo4VNGewxLRz0Pb8SfM9KR8hxMg5eA
EgAT5zom3m+RZNXw6PdQXZMEepxnYQcXgxjjo+XzhZZ5bM7/+TbyDf78tfgmPGe2zI6FjTL406Bd
kEj4XTYnDw0TKYEY89Jvc+xHd51dzsNNTUVZRbk/IR0mxBaQIdkPcboP0yTLOTFSx+c41oaRhU1x
ByHE39MLpZcAlWnkACuS2d4YKB2WLQFHIbyXVBmfWqNKBmQP1PA2KoEdgUDHT+XWtEzejFyqcccS
4HFwy2kgO0FbP+CSS8+BrPIL+JDmOuVwJ7ZB05sjLfPS+CIo7N0JklV/0NEU25J9AMKXecHygdcx
fZvZkVMKn9N6mw2s3ycCLiub5mLe3ndmipVEp6EXr+ZBc8uhMQBNBCG8fRlrjpZounz/CecOXlPC
Xwtv01sT5p7KTXrKOcTJEquOm+t7Z0B3jepKDgUa22UgvoZeWH+0ujkzjnEgnIuVjBxJW1qJlN/C
p1lNAsi4Q//gwVC2gIbjDrUb4S4r0qhCTdHScKtKwq5DJ423UG/DlyQdWXYLxggufV45pEIhbZJU
JTu2BuHOFwMN3IqQhVdJkQAAdsBswxaQiXhqWQVkNvPbqO2iyopt8HEBlEoA0wLA/YX2WjGyMosU
LxIIkRExxgmAWT7f0qXvLhCPArFP5gY1J8RiHRwBHqUkOofDj6AuvIYYgNQ8mFneE8xYJVe6MP2+
B87ddA08OEp3XzCpZydrCvSW+icUXeizkZt18uDTp94DiW2+VaF0vzSoizad16ZvDBT9MxnjfNgs
aVJvzZHHA3hpgIiNJXpbCYIoGFjvAKC41rgYZ4OTTNAMbw5i6Ei7WdI+G25AnMhUB7JwTnVNdvuz
j4raDBkA5dz4BBtVgUGFcnagdRWr3CC2+LsAzeO2ERU4vOcrqJ/E5m1AIEL7hUwFz+Zyi5x8kbmb
q2BvmOvmZ3H1I6nK3GnELs3ZpENiM9sbzmsXKLRKslQtVF8UT580GZr0BkDWXiGXc5ibfILFMVsy
V2Qzo5LzHhlJe3Lx+BngBem9k+qzRo4sPNQsb4yIkiyJaaFieNWJ5NGvujH4DsnD6AfLEC2z57zG
riKTPDPZrw5lwGxUKfdVx0v4osDFvcmF+qo3UpM2HOYh36nCXdWnZG91vKFBRHeTHz93LhfHiaM5
s62LX0YPrDOaOpItakqInbmWeGbqp5dhmJifmc5iquqU7qEjiIH/kiwrU2jChH61TJP/gKqM1krg
cnMIOOQrDUSvo1NNRX4l9popBpNQcEloBl5Cv9GP5CSyqGfvfJ51jmQPh9wRJNPZp295EzeBfOvC
9VaGPZVWKUf+8f1qK+zNOR47Bwwh204Lw2SGteB9L0LIvNPfIRLrb5JkwmO/8EQmh53hbFEhn8QS
7iwrnx9HENkvdplTY10xGumgVyTdunucLe69gFKWUetP+aSCzJk3BBv6MV//CdRgC1A7Z/dpgvJ/
haUX7vCMIIYoWW27MOm+5uRX2JHO5Pz4vlFYig4HnM5L79VaRY65LHm0HRejrSB/cwga5l7Q3z82
nWFezZRX2mti84otrGguDCOenbVebd10LDyy6W/wrulHZC5swpumC3euKNqvoMhZzakDG/0utkJ2
6XKhxTA13kwWgCRbAGgm0pgVoTTrS2f0aGnfNzjjulUplnx4+zj82OuaPOchPLDSnZ0yQhhHGodP
CIGDX3cOLmnlOq+pD8XvwLLDBbaWzpfN6kPJd20l4u+lkfLh9fsrJEDK6f2k+3UbxMoD7Vg9BI6S
b2UoeUZtHLC541/DRLAAU3RlbmvWo0qRosoUM2VUpgH76PGkr7VEfsXXac5opbzHDOAI9RmAFRV1
TkgOSInEdViHp1uX4momOSsTVlZ+cj6xXXUCGFm3rUqM9KZKY86Agvh6moEEFFFo4Y8LehsG8OAU
3DOUjeGLJrGWDgCwu91AeNrBxvRMylgKSC6tFPdUt7TcPiaBgh7q45wRMxPhSEblO7v2kRwMXjhv
/fhKDYiW1re+HGhzIi1qzmHCU2W7D9Q+tnmqmYX0oWQh5z7QtzuTPxm/GIAk7ukbEU0WDLyvZkmU
tZUtmMITlze+79Gzb95HIkZaIc8qYwpwBXv0nehLJh9UV4m8D3VsqWPQrA8IETFTE2Tx7qbqRfiC
sFIjteU4KncLlnm85cHIHshSSfU0m7n7auc0FCwDkXeEKoalSQfiWdk9N9m2ZoF+LM5D/OxZiAc/
aXnRO1go4Lb5hqxE7JGRGALexkB+eD/worKAYCNsXlEYhs8ZUzdYCI60zwDuxHPjo5/Hj84ubQEH
jYpsHZ3vy+a8QH2gjE6J3A7WPvXituGltoDw5aMFzG4cOcmsdw2+lA5hwJFPuIWmyEu/tkWKLHZe
25EGRFSnsDZLdCaP5jKj//DtBTespEu5cWXCdJQVvFyISJgdU9m7Nv4sS48M8Fg/plmMB13Bk74h
G7Ksdm44lu4jPPe1NaacYokMqvyv6FIZNfzq8KXWJsdWwnSOBQZo+nUh7e5TNXn8bpCSVvcE1kwx
RGLQgdGyLi5Z/j73aSs3Dk0imOTZiiTrkRxowLI2qpvz+w34mIvWg/uUW8wL68TaJz4rzvvYjRPN
soZPCqWGn83fgdPGD+/j07HG+JBTCDhMdecUt/4YMETIJO5vHLeYTmmChOTvA6JSVfCr9ScyQqp+
6m/gB4Q7cD/ua+JRS3kfFR5GsmVTWAQ2ew4sWNHV4pq7a7WhkAb2ehjjJPMMLujTiOqoEfmdRRGi
dzH8brL1CxnIsttN1iOw7x21OiHYCPVbzp7iKhy+AkNOPENapGUlyoQ3y487VhhcH/YezZW+H/OG
2d7OxB0ioOWBkzqD2kR6MtJkYtJ+nwGdAuPdtsFlUUVDbKzL95Bzl2xf8dqsCxAMmgRaSgSsg0kB
ZxeZO4jGQqYrwL4LA27gNbM7REL7pJ31Y4Ud1du0HNVeQj2z8XMTvvc4TwGj23IgtOe41QgeZS+0
PCFJIAJsGKc6vRMyx+tQM41eiWnhKtyA1hErf8NoN2Ep9c+DO7IJgV8UvpgKzRk5Y+v39UN174yW
/zQGurqjQP4jJdCSfKpc3rhlZ278nncHUXz+K0HfsiHfNd7YHkfqaGqID7U1y2OOSZowxUwt0UDJ
M2SHMnsvWKO5z2h6lk3jkn1xMMbc3pt1gGIUrD0RnROcHZBh+a2NdU5ErJrVkZO9vqlFC5+1bNHy
xKjVfoWaSLm9B9T+Hv0pI6yX1hDsNNoW89Stk/8pjxMKkaDq2FONTsMJpqzpQjeowmqqbICrylgZ
T5gYeDw96kEqVcDtCUlwF31PBVDhRUeKBNOSeamb2ONU65auSwP9SEYjOzzdkWHUKd6Z9aBc0EI7
KzvkVQ1xAsfEpnB5CFQpNllwE7ZOrLhS/b6YEG3PjOVmTfGzYY/J6hK25Iusa7gw8viFvDNG0PvB
MCHnrj2VwEGZ8gbmtMbD6X2mntbf+CkqzSykYaraUFwT7YYvAvb8m7VgYvHsAoIRwwkfvWexfvY5
i9tYJcxWhCVazxOfHL3Pm/CHmBxDFszd3NW8E+W632xjmsNVT1sajiPlK0Uy0ldg/mrTDMx7fccr
RJAHm9TYKE5G4+69ZJ2ZF7JyuoizXXqDzib76UyeKc9uO/LGDeQx4R2kpW587DA6aiQGK3OFf9I5
0mY1/SMHNj3cAMgirncc+wO8xRE0j2UFnFUG0KvFIp6DQFCyc4EhRNR5uCV+jix5E8cWJ4kK083V
m2bvOaViTaIycO/W1bwPy9r3/9gyu2b1y0ssDdSlrkx66JUf7MhPtvZ8cvqc9qP+pFNvuaRQgT61
Y0InmjeE2ZnTDtSz0hpJ4/YqInno+Bj3veE1JO0sYR3sbFrHN1biGj9QWblveTguP0t2lb+aUku2
26rEduXNFpULaV5Q7jcHJLjqi8Pl9sBSY8JW0L6SrEmzuzu5OIyumY/kKcm97HPVDskTEZko/8eq
BKwiXfMwBy6ACLuNP6UGFMSmm/lJbm1mkp1yHSb3C7HppOmaiRKRPxDrs+nDyfv6Xlb4vw7PX3R4
qI2vVcF/Fof/DdJ/fq3lq/y9u/P33/L37k7o/I22ju9TYXJp2VirGf0f3Z21ZQprEw8laQ9rI+df
LR6qX7/3QSlPBeaqjhUYEv+blo5w/lhng7pFc8hEFSqwhgYWvtI/lgO7eAjAemjvXCExx7mBqARl
iVCzIqlSGmzMmP7hCyqi1G2SZZp6FqQvuabRh7Thkbg8lU1nGtVJSs/u9Q7ibO/EN0E8ohwc7ZXJ
7Xfl0l6LFE2tv2cbUDnqOpggUTU6DB/yhiPhZCV7gKuVd5mcTv4oEvUwOJkfR4KINMLiPJ+5IUQm
KrtkVQbMT0awLIJwLxQp66xem93GCq18OViCHe6lJmXajXKOKgbrGaDKm7JDrXuf0/Z86rs4/CrL
xYYmIzvqWH2PlPsMaySNd5Ravhi25zR8xOwtOx2W1trd8EkNtEkcBJ6aBXec12Aj+b7aGmGjvmWk
P90vLuWxZsQ5mfVpP2yQSGlIJXZqoJVrIPgWS4WAg+TPb57EPGlJ0no2hD2FPwA6/yj1fA14Y7PN
VFTzkb/Et9Po2Xf0j80bmtliN+Q2dQyb9KPNZKMSJ+WARERzns3toNCebFBchJgwRwpvpRPTklaC
NDJ6EtU9Ozb5AmQjPlr9rA7L4s8PobTmk8EOvWcrbmmDmRWzIaek7I3x4D7gr5/sHaRJ4y6t6uCg
XY9zZaPFRVGXeU4XP4NvNgJeQuMaTTqB7+QEA1HF7mR9NppSOqD1CH5EejNuieNtogqGwpGWAdme
gztP22x0qAZaNbLedCJU3Yj13lbw2+Gr6Saa6ZR/M8iwBuRVGocu6xYkS9byw6wsHzecaJ8WInuu
RDs3l8agkX5w6G/f6XHxJiH2enKwjhQgaT7+PhSWM6W3hmu1QMizj05/9/e+P+J9VZ+qWKqy2fof
0gCrNx4DQwRI+EnPlbB4iBIS5o//m1H/f0zxLuDT/zShRq9l9ot0xuz190n143f9s2Pu/I1COU0C
0BvuGsPwrzmVjjlAGXzpzgcjhMn7H21zZltBgS+gf4RbnaiIf82x1t/wyZMcAQk2sP0AQ/Z/4Yr/
U8uMtD/kLJYA+upDPKEIvzYefmsbDZQ6W4rE+lqzc9xNigAw5oTcJwndVxNNO3c+5YBDip1pFsPX
oXGmT4UjNUyusO4+/3b3/pdepfhji/T9agDDWbxktFaY8bkjv1+NU89tEeJZuVrrMQvSLLvY0W/I
MQXa1ICMVs741Z9aTiF9Fazn8rzncBEv0ncIDfPrtxB0+x0/IyXPD/fRp8U1AnGYPTf+CbFC6L/o
WL231f7V1P24YhrxaIWA9JqB9aclilUghf8yD1dbu0my9fRSfoKfEdh71HMN0rqZqjZ0UmwWi++R
CDcXpn2oqMIJknApDqeYqzhpGNSQ5ZA1hEBWaxnA790i2SVNnt6D2j5VMqRDsQoSXmTanYtSgZzM
WJlumcyn6i96tv/+GFDsmNS64cUIJB1/asugvkkoaJTyWg+c85sEyccGPBlDo61p3UJUDJ/aWJRf
/vPj/2OTCwEzhBoR+DayX7pClr1e1m9jkYzfxGGSq6/v/QJRpCOFsj7KiDt8+c+f9Me+08cnhfRz
6Eih5oJI8cdPagG/LR2R4tegNSmHq4YiIJuN2QKfmu7MDrd6ZJtz0ES57arqrwbNOih+HzR8S5yT
9Ghth0ICppc/fjwxRBk9BILq/a5wX4nScF8LNG3lASOY3JF72IDY5NEfVNnBD+2Kxv85UGc8KjI1
LpqtjBnZKifUPPfJPrZ7Do/bFB7Cz9aY2q3JgupHLh5GwiRsbxn/QgQi/v1B0c5n2rBRaEP8cJjT
fn9Qpje6tevGxq0Y4+o161cspTCKoXbYg8x1cgLkUHxPgrC96KVLYeI7RARbYvJ/AbRZWDdTeLxO
k08/s96GpOy2qf8X3GoHxPaf7rLt4NIiaQetDmgtny3r71fpcWw0+3Swb3OnWw+SW9z3ywHSjh3u
h2kkBkJ35gOUU3fckLIMNFrUB2n17aF0Wisqyq56bEu30jCJVfJZ5RX0BgirFES69hNnnwANdB2j
cM/ZFRESC2ozzmV9Va0hyY8kajBJRIgJc4kpDgFSrW7oGpSPJE/cJ3Nta+RuPnbxuHsecC/bW2/C
gyOy2WJucMZl2ZgqyC9l6gZfQS85p5RN92VJ9BRCdUxhEjPosiNsU/wSCt7wVigMWkuuf7SyG55G
08Ceoda2aMxG8ujElvXcpUIVB5Trgq5HWsTf2YL3qyShM76NdJ+2bStJRiQd4Ci6sHzL6Njx3ttV
8ZTBafI3E5F5J5DHYzRzHw50dsO7DqTSjtpWtxdCiwlHuC+SaFJJ0IEcZdtaSZszZRveUaxOTLow
zXDDUmOpqIZQsAkGv/yiKzOFFRS2Ty5BvIcxzA1rL71qeQ28pt9Jk/L8foL9CDlIm68kiqtfkgYl
XhtroBNbJ9aU7PWQN7wcSu1mLNPBvgeLBt7Rrm5qfindUqdvuNHV5NPqzXPqdbHiDE1/ZNlQhIwj
ezDq6tB7xS5xxtl8WLui20z2eG1yRtKAAUeF8qBtX1+8DwTRqN6BRITQr3ii9ANWJBVAPDJTw56p
vPmBC/qdbDR+gI6GYqgKIJzsGA9TOA7xseoz6gK5VTZP5qqYzqmbjJR3QlypOH1CcmMhSCHtiPFJ
4OQtVLfzCgjJEXhQEd+ltBdALhWzr9LtrMtwuHgfYCb1gWkaWQv33ju9CWzXinJCXQnXSdiFrPb1
O++JrMEV/kSvwIuMGA0cMYixWTtRA98BBnY4qngPuZUSr4zZFezdeq1yBYvLjFlbtChoGq91dNiX
lOklbIhq1yRZ8MuADpWZW7OxhkPmBMCnXSNO4lNtA9l186jWEpc1hiFmt3TXJqlf7WI5ofKi01hn
+7n0qvnGlLiXMYoBHox87c7loQfPZ0Q8Vnb0bbWILSnY1EH50zTuSIU35IbEnPpzXlVhdbT7cCh3
RTp4j8taNN/na0HunKoUD8gGcVY6HOJ+ausnFmP7RKCjVezHlivYNUOJYygQeoEykRMBdVsFM0Pb
4FXpt7EQ46lHMllukxjg6NavaS9uMp/EoU295DbFlwIw2zbgAqqtjU+5Owozc24wXxUYzooCFkPW
ZPF2IaiGMFDVt+F9HqvciewMbxEG4xxNMHEuzl60MVAEPw39difmdGmOaSZovxc06VfeGCnZIoSG
zvBJ7A5wSAahYNCZ8Q0+SwMWI+M9sjBG19mCb35yDPsZZ5g1Xr0WbP22Js7zFkUuS1Ii/WLlaNAR
tPdxloqaRgeM9hOdZng/UrlLdhZDMjw7ueW+ujpe6+1irSGPtV7bzIRWcfGjWFtxdlfIiBbILhNZ
97VUqwALx+P0JF1PfW/B+BMIr2gIBIVLmQ63OT/HLRtqh1ilUKHoFioAFTjx/FHIU5BJg2hAgKF3
k1Xl2U2vLVpDtY8j6S4zKH5y+F4HZ56v/f1SprCWZ4cqu9lRRd6kqubCGlhv4swKRp09oCm1q5gl
+y2SU90cB0kT/j7vx6J4tII6RLfn5FA7UHKsm8+1OeMWqNvASFR8dNPg79toi5y6g1n465dfLx2H
6Hpda0nccWu+xdi53Cp87mvBtph4ddoyKbKHGrMNBeWRXUHC/8ecag2U1DvhzES82m1KZT1VvR5v
KyOlkJ+ZYwd4aQVo7eapo7LMv1P+5BsxgZANv+6TgQ69xJYdnoIpy0gdJEWbcbE24lS91q/JLZgf
7UFTJk3Y5ubnpq2L/AloijrI2hTX98awY1oQxVMcqNapCXCfnuOUAFsAK34H7NSf7QMueFVEpt/N
P4oSOq8eJWnWnTlPBfll1WpRjkmcnxcU6zuZdbQHOQdQ9s2sOZX71qvCzzhYqn2l4NZhlmaam3uV
PmbUYM9hRcLM1rV6K2HaQ58MR8cKXyiRT8kOoDavyWLEdnh0MF91P6lMruhWwZDaqXXG3uUuufKc
u5dpxyKjujOxL8Ab4hBwByutjaPH77v8G3XJ8NmY2aYTpDP04o0EMPK+KhiO0zFTFj9KA4xGY6cS
Lzm2PBb08OTU7peGWJxbPftkqE+y28CiuXEq/Ho3i/J4OIUp5HJoaYw3t6AenIsxmA7mpa6upnMy
qzbFASqr9JmdiHwzaZviV/EzucbMSEU6tpoCghDiuXsqk05kX0RD3gONQ3Zg86d2sOkGo5igVZz6
xAOfjLhV31H+GxMEFukVpCSY4kFLI14O/djJDErsyCCFAZ3b97pAN3KtvLak59Ailrx1ROroaGZ3
I3eIO3hqKqjx8faLT6EnAA2xE9oGTzOVVtBTcME8QK9aJz6Ak9mUEXxmr/tMzx0DWtoz1ljp0A+V
SSXv67CGOzRabZjvA0RXaqPHr7RrVSA2RTH5n5D80jFSbjI4t5gFgukRKgMdqzlhRO/azOZpcnBA
DJDZA1oDv29T+97SZukdY92EfC+tjeS26A06IJVcOQbsxsbhtixjrh88ULKXaVCkW6VN8zjTNERG
43k+5ao49T+M+v9Xm/6r2rTjryCF/3dt+vj2mv7BsSM+fsc/yyhitezwP8HJ1Fsry/8sTQv/b3RC
BdVpPABrQuw/iiir9wDcH3MSmVLUb/9VRHEEhh1KH9SpqdZwcP+v0IIUX/501Fh/AnUcj3M9KvWP
jMXfTq6FiDu8XrF3dcmMOcKk0N2ZhHpQIlQfZtenV21VhV2fNNyN8gl/sBt+xxbxM20W98nxC9uN
RGM/c1rUnws0pWcUxVRneaNYCtrag0wULjJstsRkzMOjUVrMjWmiVPcJyjL5GOw2Srs6FyHWnonY
qvzqk9fQ4aIrg31G7Pyximc78rFkRhVpM9u6Kh324RDa2TpY1o7+0EPRMtWtduX4Utpte5Ejm7XZ
m7qTFfbqjXX/m1MNwZtDBjyLd+MfzBarc18VZuS4lXfEo/lKv3LFlwfpjNwG9Od5mcETmm3j7HlQ
xrXOKaJufeKoU1oJfRz1IQQ8QurpzlXT3pUleG4rU/mdkabWZwooF2e0263IsMfKLDUfyRNsHoex
q7fE43wuQTR90q6mqgoegfUnxAQfeLtpzeGwp+rByY3uhixq69pXVX8cCTKPzBzTUzWRdQkQILsN
jfIVWywHwZZUNLf1inNHjPShbIzpuyz8+DjHrr0valGypmT9bskD8RNjC+ebQPbNTWhlP8Er9OCD
Mv3FpSBb0+ymE9mxw466qgy+WdZY7Fw/X/Pcm89VVn3uDD4acRnnvFRNX4lGIDzNhsiDZpLze+tX
bEkB4a0W+MkVGzsLqyd/0Q4yXzNtj+uI/NRN0tsHgp0ZWI8SYq41dgg0fH/g6ifyAwFP2gdzsr0Z
mYmGsesRp/HoFKK4J5lxuYsVIIZ0cbpLalvsljNTu3yKjaCDo//BycselaBhZ08KdN7Frdr5ks6e
fbs2NMBsxeqeg1+/r6XUP4bAKUGfmPYQjYXR/gqlzEE3KaIGKz9XF3BfeIjdWl6GOFiajfZU8gZX
B5UIp7ObVNCuJ2a49elKhmnDqdo32Tlh0vb6EOtpD0gLNIg3wQAM5Phi65nuT2fP1h5LazeTWehn
WytJJ0haOPcLowKYReZIeJ4qglE2QwtdIiIDrt+HikWj46J8FJ4nuczyU9JTT6HBYaW/mnEBjRSQ
ZutnhXfpXePNW+BeQcLKOdLjFt4gGKI6o4EpRDYbgL2fm+FnYJjFZur9cxvX2T0HtnRfJq75ffJE
ubcy4f2AK7ScFl2RFuBNqXdQPSLTXgzqCxUb+94oYh91chDvR0qeSVQXaj4DKHOGKAji5oS2SLVb
NlHpbh6t5d532T0sHZt9z9MkqWrbOqLe7R9hb7kH5H3ji5u6zUOW1elM9EVByylMID619rxxIdID
tgj5ShRpkHVYlJnogigiIPtp3kHozymZxPMuI1bq06Q7TRG2E/uUJuI2DQGh94MT36ZB3d97MM3I
BumfM3bDjwQ43vS1vdyp0YRxoP2TO/Jab/LSItIlrtRNgEkZBahl7IQSUm84jc5PpBa1t5WcrGfL
Yh+WmaLbGl5BHVj1KL7mLI2PtRn6TzrvrChsZGTr1rytfGNn1o16SJyuv8x5m0dMnigQRx5345Ip
Rb2NZpHZhdvEViZwLfFGucS7tk5XH6lNWcdKjt4mExI1dt3ijeYhHyANolHO2mfDb2cO4pY9PC1h
Ov+szBZ1suHPZD9WgMrmbt1NiHTiAGqlkcjc4uBDkd5mMRO5aS3DOUtp5yMedPaQNJPICybv1tTk
qDTIGY9hgtk8xtb51W7M9IYDZhlB5Qp3vTPMKG04IX1lEcRNHobGT7FmjAJbRdHrOeOvPDYajhVZ
80jqjYjIq6Kn15mvyVIlO+ifsPTYlh6CCQdU1AJ8+wo6c7j0VfkomwaiY0hUrN337dlCgUSf3m32
CkjMvSmy8E6SLtZthhEknJN4/aFyGsp5NkgcimDTdvRT5ycFrWmHD+0HDcQpKpgzUUIUih6m5xqX
1HA6+FGu+tzqMIsc0S6PHv6N7WA33tcxSHk3bK/dLm4ATiMr9G2djgYTVqI2MPicb0U51Wylu+wq
4ro+LGYjXlVFThAIxE/xyJRuqdm6cSevhRKH5p8MKKG3rbkER0jbj4spjuweiOrpaTdjbwEuuwF6
Gm79bMJVUSSfDe1WUT5WcjN7dXqfww6vN0aXqBczgVAS4oI/JYjnAmbQmKgUzOYRcp+LpFrzuCzj
/ZhkZA2XZnke1zg2l7H3nGPmP8UEwfFKoHGiFXzxQPYfSdl9LOaQoab6Bi6FHSeRUycBKHBvhDFA
lULaIxETQXzJi7Y4NFgajrGZk+66mNlWtaSe80KBP6tQySUDgUqAELqdDuLqkrg907eK1SuojPYA
lM07L5P0fwi/LL8TQmZcXdk/SBCaT0uA03d25LWAu3hRCmVqD7j4EIz+uOtcf/rEYWQ8uV71mqOv
Paa5n+y7ImsOEzlDN+NSEi/HFlueMgtspJMlziNF/OZ+ITZwG7ByTRTOHkRC1pmhakX0pT2lG1vE
02cByu2mXCaXAOKMBKfM3dN8wlFo0cTxnBdtkGhmBhVJFrVNIkwylc+AHNvDOASknwQDXE7ZouHq
4p8BcV+Rl6TpIZBhSyqcLGkGl6t2xlFn8uWSL1MIGM+XUwOipezgxLnLL7Jpnuke11Rgcv+piLmE
QRRDxPXNGy+3bydm1R2BZ99iCSejapz0DpbhhQhyKCyevsAodT6VXVGfutx2do7RTweaMiGclyL+
1o+zPlD97r9poyauLxzDXTNZ09FXJGiXnvymBPMK8at4GtR6cEre1ZOvkMRmyEEgxgjeW06oCzZ+
kZSQNc80xBwaMrA3r+TlJlEamE0Es7L8lBte/cSmqjjXXcBS74rY38AjCfI7QsrFgRzF9krG7L7y
7PYQaLO/VbZTb2vtGoc0dyoihazk4q9CyN7Kx5skzlc+hMq9+85t9TF1SrrWwcgRKc9hhzjqG03u
PGroV7UHyjnLXQvbkGwW0J/N0td7N1D6dQziAGtlRyJeXEAqAfSbdDWxhZ1DpM+if9RF2n7zQH+Y
bHNfqySEpGclv6qx6vZ5BbopmpEOUX43MQHkhXEDooKqGf2TiiAxp6hvW20VEXozDxFr1ZH77CRv
8dBbW6deFEuah+QBVC7SuSK/Y98bDVDz9srygPbELSuoijnqMw9ELMIt3ZTABLxjmL9w67v4MUpU
wYNqtnjaE2KTqh5U4EhVuiweyAIr7I00Z30moM+MutrKjyaP+lsD5OUGVla88+uRUk0yy+LUy1GS
IWTIbQfSkcg1P/a/4O3pcfqPvrvJFvPBB7eD3GBO8qtQg/ihW7+8W7RmQpjAidpxYe3jegHk8xTo
eMzjbTwFafMjG9HfOpvqw1mi0wKbCWFXeE4GHYTNs5on7hptR72aU8J3n0re4+IAKV2uFhbE79RX
QqIQiITA52IMq+VlWt0v9AHwwYRcIXsEl/AeXDI0CmM43VMLkysmaE2snhrAXNlppEpx27X86kaC
GrR58yDb9nv25sZtgUycJOvZOmS+S6BD0ur6rY+JpmpWQw9dyYU3GNXR1R+95yWl89j1rvfmlGTe
UGda2nPshmrnLmH/SECUTfB61Z8MWLcPJpQilIfNjLwtVeONU8KLZTYAIULO27Zx2MJYSpKTlGSE
y/els/Ohdp7NWjqnfvXAZS6VNJLdiZsiTs4miIrPM4u2+aRR0nyWonA1kVRt5W+kMOjPgV+MTO7c
o7IhHmXlMH9VbnyXkE+KT6UM9ZNWYbKd8oSINczS5i2Zohb4bim3vY2McyPdwBs3cdIGdwGrcL5h
pzUecynYI8sWxoKu8vw5CUpa8Cuopg/ldJ3rJXmq3EXug/Vmx6BODkZIaP3GheB5NeJJ9YTL62nn
jS2ljVx2T3Fc4V3IGn7puITusZB9/TgkYY8CVnQvKIPEF9GCB6yb5CWufPPiWK2iVVSbxo29ylI2
dWjCLZrMM2Ke9mmigb0y1trav4US4TzUaffqLxg/NiQqAiH6H/bOY0tuY9u2v3I/4EIDCPhuelOO
5Wg6GEWVCA8EEPBf/2YkpSOyjkRevbYaokSRWZkJE9ix91pzGYnJgGA0eeynS+wQR1dE3m1ezMX7
zJTZE5ayaB+IkIHR3Ftiz1aoe8rbfnwdDCDfEoDPWRE7ueETVbuszbgJJ3Bkq9ZDorNi60Gtg/JG
bKLEHT8vVH1U/AbSrraetLFG93aqsEjv25jEcrNZWtx1iOu3CuXMFhZ8eBwxVh2TZcmu3GRIjyWe
xZvCZefgk1iy8UzjcxHUy1MSOxFhq5bHl7NnFg3Tzef3YIVoKlnDaK6XzF+IPq+XTUGEz74TQ3HP
nA8y2sJ11aJyX1nwjE+RQDMqqXzXaUoKV0W++jpjW0a0SaULWcttr2Db4qyqTFevYPE2hBHNNE+l
WQlAqhuD8pZwP2UjWPfYjDUWTwGMMrSy1n3iKdTDtESWV2OuzPHOCo3s4OEz5AcOxvy+A8M2PS6j
AfURLggb3u6uNzGlwCnrIXWSSIdcbjxzSNqAfNpLgIj9NU3kf4EzqQTx93TDKHIfGX6DC6CcfjKi
fwsFNUlOMIlbAsFCc8Vy36IGZDONuAmt8QY4kYuOjWh6SyCMQKJtMAaL4k+itLU94GTn7o7YlJ2b
WNvAj64hv25V3RHAZuzDJdvk8Hi+6U39hVDl7QD88tngOCBZ1PPltwKJ0hqaysSBciNle+NLasXo
AOPvn78JUkut9IGf4b89AG7WTWx6h/EmFSbdWbbAhAZWfv1VjfBvS/InLUn2E/q8/X1L8qZuu+R/
Ni953b18q+/6/YW/dyZD7xfXc/FnI5RxybD7TjRLBhR9R5QmxIbxL+9Nb9IDSEkPkgtdc4Z+F9HC
RQltOiQ+Lwt0IMo/Eng5vhZj/Ck2gQiAlgdSCHYRSyNg3nII0CJJhWBfXC0IfONln5KS0EUb2N4r
gJHXRueE2N1IKFoNAUHPq8Cxl4+GKNhG0q44KNRWV6QW9ejyjRLfbVNTQCzqmtX4kLR2fwpYmDYO
WPNz3VfGQ0Ns97quYuPcpXTx2Yp6D0Mgpyfw/F21Qi1h7C3ZQHNXVPqeAi/Mz7N2AjIB+Z5DZO+z
JozWfG545258QIt77dk83pHr41xqonfj0txOChEkxxEQv7QODbuAFXq6fO0X3slyqId6uPNJ3Lz2
LqLhPpPUgEMLqBwr/DWRxAyEyNaeBhN/iYdXslDGlngFazeby7KHPMTYNhZ7sp6q9wDIMmIpcujb
VAsEEt+2+exsjTgnfVl0NoEnJf5BFy+PXXq8f2npWo/itquC8DCrPr33UZ/iEoaHLUH1EhtC1T9K
ORziLrtt55CyUeXLtmxSa9XT6Qa2Ku1tYrr2Jk5pEI1lT+sFzeqJ5uB1YoURg/vyno3DuO0ifx+W
/UE6I1BCxmCrOQRQ6eBV24jI3BtpZq3dZH52O5D7Q6e/BNGRm45986aYe2ZpruFti6D/jNBsY1Nn
niSMyLNs03ltCyabi78z0kLu3IW2K1xXRsiu768a1zuEUYi1vTbXQS6YeC+R8Tzbab2yzd5lHWa/
bPfTtOM5HpL3inZYUH08+plcjgp0K61gEolBoLjknRvzRk2mw/OaSFg3iPdTTznbIHjehlb2SU7S
OWNZOs5VhKLGtakiVTuu7CLeJzZeiLAhRqAojG2eNY8Uns/BtFxlAoVHTF28M6rU3Frmkux9Wb4s
bvYJ6rSzz+D0r8dsJB0E0cmpEeFvyHSJ2hhCd6O9ggXdKW/kkgja+F1YZ/UOK8a8FninCfjt1kNg
MQlUhQmr3z02IrM+zc5irfOWKAQj/7zMDvPCJJDbDCfSQYsm1stSBSsa+eE6xWSxYWfmHGjDsoNm
oLw2C/5fbrUfDNWVm9yfoo1XKRC19dzsrYAzWNuhs/NI/tpFdvbUCi++rsyk3NnB55j+/IkBXEMT
2TMeC8cq1bonz37jF2l6XzL8X1fKM1dgT+a9TMP20ayoUiw/zO8XP3A2Si3XqmuLXZDl45YeGHPN
vC+ZvJr+FvV6DJHWMO9Sr0VxvOTlFkd9sgZ+LTYorqi//Mw7WoLufhoHJCKIGKLtIM7KMPuNgZLw
iQQCjiLz/Y1wMlIL4nDcILVrVqZLc0m5mfk0Rw5wdQOpfjkAv+wS6a9xseA3W/LqITfsmezX3jxZ
nRq1sodO/hrsb7L1ZEDoS1ei8S9QrtrsunZ81P7KhxTOXzSuqjolDzv3bgwn/5wOCGqyis7T0DCq
6YPB2PhEXFzLRblYnIpsldrmlylKgs0EBv8khwXZgtc9mIRfkivsnQK05iunde+9CMPMaNI9T0Lq
+mUsPHJP6ACKJvy1R/yVohaIrP6OMCGK0SxFnJoav5XOMu/Ayp/bzr9KR/4+epT96GELrpyq2sHK
hERM44aZKvMAbMvkzTjpS1PTIIuD5UHVuNSwMrKNY360GoO+W1tmMGOuZdPTEty8povVXuNpoGMk
XkLIynBsM5uYb+U+RCKJafuG2x6th8mttgdP+9uAxGrlLwjY3TZjiFBY1omNfL6jhztsiQSmVdbl
BNSFZXBIbPMWuOYnz1NXWexkR+VOz8GoEFelXrcuZts79pBvH8NweF+Q8IfSzP/NS0awkFHarce4
eBRWf/adrr2RgQAoRWXvQga51h0msnvviiRiq2FT4sLN/9K2vbmBQhnBz+/rveP08KHdGWL32BVX
M+kjNF4we7o23boiq1bKTj6FcxA+zg6Z6uydz4tHEwaYd7PDaTJspoB3rJblERVUeqdo+2cWD6GJ
gRVhECH3sxUXu7Z33ZVJ50zmkKLAAKTnuVHHuG0Y1A+2saIZJzBW83ghVNH7WOTThzHq+4M/+691
Tw2bxAV9O9GNe0ZWxg7mr7v2ofHcdsVwZ8aU+Q30GT74eC2Z5K87V5AdG93XQHrIY0x3U0MjnQWN
XmlivO9DNoyNMb3aqSRtvuj7YzAsWMVTJlUzcrED6296SsiI38e04BjggyftW4aKAZbqPXRydxf7
o70ThcT3Dw9qH/vZ+3FI3eNiBMDN1Fnl2DCkEX+xDemfsDJGO8Mng8ORnrVza3xrllOaJwS1BAU4
PMkXVtVdi5h1MwbzYlefaXZV3ZOTdpHKuWYNRhaHaQSeINdT1wT1+NyR1eVzKzaeypAfcPWVwW3k
tuEotTYr1zdZnUEitw+NqNMBE5n0RPRk94hYsFHMMz7+eOsqvN9ZTpARO1fd5Y3ce+KUfK/9CAGn
WiqEWjRDw3VGRhUNiiorUsz3K3RcS9v+O/H/7f/incAK6f3QPHHz2+cWCMj3pfXXF/1RWru/ME7H
bKaDcSlO9c/7jx+N0pqpO340iJy2/83U32bqj+4XR4OPspuy/M/K2vwnVgkRaM7cn5U0Ay1cHFDo
2PybtodD7o0svrB7AzNPMlzZ5RJi01nyVgguO5t0vbm6QqTjzBID8RAlZKobAZDONB8f3aD1jmrp
ooeiDKKFlcwW162VebeiVd7VlLG/hDcCTgZJazKsBHPFHTTq/oOjyvKmZeqRbQYR9ruwC9IbCBy2
7q/GCJF5Dm2llai1C6DhpiNnhPQ7wFnmEJR3eW5Wd9049vehdt+u4Czlz5irxhM96qBH8uVVHxDB
AVAxE93GCurwvkiC8p6a9plamvoMueMe2X5854Fn1yzr9p4g8WhH0rt3i6UfS91odyeEAwuTDBsP
NgoGKhiCkiBx0Vrv02x68f2yOWAwjeKVs0ATaxqp7thZJ++ZsvfzGq273NjxICA7+daD7zbJvTt5
GeM6h+hYg+Lkqo1HcRU06on5e4doFfVEu3IGW6xNWy6PVdfTg7Omz/lE2ODKHnJ1QPKUXrGpYCmo
pKs+pXSCWVo5h09FnpU3wTgkO6ioy6ktyVZcJbMdb4oh8CkGaOowKzXSOxGq7GAU8e2YZxkj3ok8
igS9qqIvcDDHeryakqq/gjOe3iRW6WGmK8f5Ye6afpdPYb7uvFzQ1JvUYcbVcu035njlICY7YKC0
XzLHrk8ZGr0HQETFtC4JjN9WQnaksiaC2RXz6uvFasxdY/kGsq+ieodgzH6AENR9xEVRfIH4Yj4K
uCGIXqfqlse5cWOTQMXUufvAsZLzupmq8K5RQfnBbtNhZ8G02lSdMLdjlS97kPfG1qDh89qMSt1a
HeONDJ38OiSUoFllXDjABIww/FUHNbTrprVgxaJvrwhgL5J86zAve0d1auYrD+Uoz5wS0aNZD6AN
oQoGgFwYeQTnSrOyHduVN05Lu6+vzHJtiKVfJypGwWgZISJODH9XcnGcQ0E39GCCk/gtq+LszpQk
nqV5vNzmbiZRSmNA+DUAsVLSN1VWuGpGAiiZEbr9uUo9n/ZAkpzSHCY8Asdsg4ve/ZBapfm+nTKk
22FubhNH9deYmunnYoMa3kFNXz42hRTobws5MTVK40cQVu5t0DirNpDxfhj86i41VXePoF9sc7Tq
M91QamCuycqnYGl6EO0dkcjIr/18pcYKvh5IkOgIdwR/Y2i1R8oUIocCNJ1EkTJUR5XRRuUzy4i8
m6uCUIS4MbdDX7pbrEHmtY/udtSJE5KZRxps22RubqFNxbdt4oiN14CAKtIihBhltIT7olzTGpx+
fvC83I7XsmJPtGRWggMhKk/9MlSw7g1/jNYDOYXDjtBB8zaLbMtaG0QLlzcGQvtn30KegsG8jkjU
aBqSLFEjLpulrF8L0G7BqvfK6dpGCThzatyUkCRyh5/jQSlgAhZggXVhxNMGdAWq/CUDH8UAoCHY
V7K7fycK03rfqqjq10wHW9kwECNbbLqmkxEQ9kssEbtesUOQDdqYzKjZ4/E+mUhKH8gAFbP3FPs4
0e87G9PYgQBm7naGOOwjAT8EWcn43RlEPj602RQHvxJ4EiXVOvELc3SfyiEbG38bSNcgLLHvu+x1
9qW08j2mu7blwUXv6N8220/abFicBI/gv2+zPXUvybfttd9f8Ifw7wLkNiEWmZ7lCqiLf9YAOmKd
9lnoWjRIaZKiyvtD+qf9k5Y2k1EY/N5Xs30tBzRtHuE+TWWwvf+kGrigCb8vBkJbWybxI2jhoUaS
f+sugiWXJgS1ztdhtRhLzoRDztDmvTF8LkvHPvIcQtcN3EaelUssjTXPwIJSnn4XvkWrsR1C1iDQ
ekbCJWKF+2Se3Tu6Wcq0V0AaUujdK6QqOjujLD3oHffITSZCw4m3Y019SqKJCQw8DR7uHsNjFmVm
K8atjk8oT3WbtSpcC7w2wRdb+nPaH0aPu2s4xn5vpdEx8icjO1FENcODHDjID0ZVMwKQWJidbUxK
+XLmWDr2bQAiaG3ytiSSSJMxNmFBzSpm09oxfsOI1MP+vsEhkuwbHPk28a1e9FiVInkkpMs+8KXq
TbH0xucRGtZjADamYf6RZO+m2r3poGodYZHEu6SO+hcwsihpFGs2a0oLY85klxoSxVuw/Z8WX1T4
MtiasMIt+UjIzQi9qjkzyNHB5+zjp5skzok/Z68+QqbIjRhDPhGCJKWbcZ7Fu8iRrvD3Ip0SOEFf
09UtM44slpwyH8DV3nuFmbYMlVVdcRZKV4hyOP67Ivyfdga2p23If78ifG28r1/aukir7/cHX1/6
+9rgu784LtAHTJxwjwRd+P+sDYHzi411lRxyRjSAWm3667+vDTYNe8gsTGIDCm1e9ucGwbZ/4a8C
Q8MI4ZqYm/6RLNg334yJHHyHwma7APEZZqv91oHo51NTAiHPSE3R0C0rJN9ps6gYRbsYWoqdbiAS
GjqVn6BWFzMYnUqQoEECnkK2JkYP34uNVDDf1i5DOOrQ2mKmKwdoMYhGgfaVKfRrNiUOaZ4AtmoX
rl/nMEdFqpbhsJGAbb4ikJmmaYichuewfSGpmCSwjxDe5EdEUrgFhoyR9mqsCDWyuP9fLn4bPFMG
+rkq9jw69yKQewH5HNlDbuiX2NoUllMg3ommC597ygdUC1ITFTsFpijWPKDL2tZmJF1pEBiwJjn5
7W0sqrw+1QiVgpMX+rAfA40T0wG5K0sDBK0qxuQlHfplczHhZMEHjaZMhg6jVBqK7cG0YKvhoHdf
fA1iqmujPyAtsp+WMZjuKhtam7JNKHheCaIvFuBRidAGGJl5GjPIvIEGFqBLpfbsX9QreUMcgQvO
PUWF+NGOGhMjD/Zaos8mWD8XpOkc87pVH/MBmCzwaUcNsjTtWLMYNcq1t0nkphCepvvWyXlPQhhI
UM5MvntYuLgjehqE4MTS8lwlfnJjE+p6FQwRjU3Uw9dZlA5Huw7zY5X6vMYncChdeZMGMpXkwXnA
bAX/5+sJBaaDYQFhQfgsen2GhxmLNqdUqQ9QE1FPjxe6+ZQLfE4mepX0nVEKvkINC5Rg9CHh10AV
eKTcoue4jJmOWk+IdWJCMTu0inzDj9M9Hkd3YHqBP/196ymHsUe5GDXqoOVLwrgFqcOAf4rG231H
43Q3E+zlQH8D+7cIlb0jgzZ0CF8DWiWtEhakwwU4JaO+aksu9HwCcLhDGcFPWpiQx/R82IHxSbiI
LvA8/CH83u8GrgbRkuXMmLrDYhay+z0y+wLtWPh+x6MlVlx8DLHQbuI/pYQdSR7FyIwPyOykdZOM
DTehH06cYCYU9KyCEKgfyF84X6cq00ynPGSsDV7E5XoDARJe1TL0nINPlXw0oKcgvST5dtp9tc+U
mqJng8qCGDmWXDE0eUGOT/iDtlQInLtBXydzCLa/16cosDuYU25PHpql+GGdhjISnAc/V4Pm5gGg
pUQo+RE5SPR8uYQvdrY5h9is1Vw3Fwxn5MHsHm2NFx1FPN9NMbdCuYianEC2sTvhOXjaLqzHDpgc
gooi4ILpNRW8qDx9BVwYqpqi5aVsWzFnA4HHTGofLya9C1sM8ZfudeqIAWes4TgC4TRWUmVotLOG
aUbRasHnBWm4iAA2GVqMYXWhN/q4HI+p0sQ+vffmfjBNLjBDg38BSHF8ohZE6iBAmjF8YwWBQ2Qf
L2gxYgvDq6XRwWDdBRpcS0jlqwLPMzoHX+H1yZoBq5HRqpn1NF7CjVlI/+C5rbljiBJeuc1kbGzE
mii26pzvi1cpHneLgrC1RcLOHSZa8sVWuKhA3okar9msJnkdZxRm6Yx4wJ65l/NQx0JVOfYqMtT4
OY6HBBOTUrDJulo8mpr9jZQCg8VcOtO95EJPVyLJm485EcuHEC0YkIFEPPo217wHwyEimDtrad5j
VnFIb2OJtBe+8JTnGLKQPHCiiJKyHiNmkvIU1z7UBxvnRgIGJkv3F5Z379AYXQ8jBLhCwyAVMsx2
i3qRayoCYQ7X1yOSaN0qSJ/miBAGebOmkfbakOXOukRqS+CAbNi5XizVoVDUMX1jiLVgVXpwzNI6
tB7L0uLzZKXEnjkwROFOtIp6PjlZy49nFqZe4xwtapq4XN0hb8HYDm9e6lrZ2ZEQGHtLN6cu1zwo
El5k0im316LR138PcuDmwrV1qeD5nqZe9obRarp3A1LSaQdHjPWt1Xx7nHr6egxnzJ+ygW6KL4YT
+XVJQzYFME762lzqRkGLkCpQyKXp6o8t/TLDunM87i4Sj8OM0pXDiwhrd7njyiFwnseqm1CWNm6b
7C4ra10nFkJ9uNzPVmpX1fMYx3P+3qXjla5BGfFB0f/Q20hgw4WaqIvPpnxnJb0gGq96rZIpPLZS
6odBQ8oQpmoNgbvAdcdFg1rZTnMHB3UgiUtMkspKbvFDzgeWH5uARytG8UrxXWNrBK27hOeyUh2M
cT+asOKpNCzeLRmdEpPcVqCtnRE/XzDCZO6VnCJc9lAse/BzNfdku0lYYmo8xoJOlt203muNPxQi
Z3vC449efzUj26QOsdtHgKHHOtQPIuVVxSPNIHnmGRPc0e0wI+7dwd61jc0IHbbyDdK5+qz6Avc/
kW9Pqd+4gFSr6FPTYYYS8LsV7PM1Yy48ohn3wKovrdIYD103H1XSSyB6ISbBO/gGNTm23fuKRhpM
gmZneH54Jx3UxKV/H4GyMd/PXsFIAv1ASXeFjU7JqgqLQWM3SI01e4EAXJYYTMVSrX1sw8DKGydb
k8dXHiyrQZ7G+CFALJprd4/AVoJfd2f2BBy4GerJNS0S6JCiksm8mz22IIeQy7Jdx6qnaSSwYJ87
21lug6nzTyRq8phLJ5qdE3QyYhetJ8ca6mvD9KrbdMmDky8irl6LeEkvCeptTHYsuzbEq8xi/f7c
Iki49pnboyc13OmlAJJBamT5xIy0Ka6KRjnvmjyptjAWx4CsPkSjwWAPX0jGDT8nyMbpN4Vihdxd
aPF2ugEO0e5mI6NZOTQ4dRmLbkuaL8nacWiM9rbKroM2yeZrjpf3mnVBtVtw+fMcZ1Yep+NTGGZy
h+ig3YNK+DSwE3TTzP8cN9N8n7hzBbSUto6d+yjQOxdVuclh9eg5b92pnH5FafdIxgZyBZqL10Ga
LO/KBQpZ7fflDi+6s4/Cwb+SYcqes1GPTdgjvGs9KqOtKpv6ulsivYsDM+CO5GzG1A2nvkRfLFRr
HMCcqGMe9s5VbS8mzSvU2sTMuQ+TB0Zlappga4SkVmWsWNDMyvyObv3Gp+pk127d8hDQI9ahQnNv
eMeited3cW2vbdKoDtih2j1tJGrWWTIeRNJ7cCHEoMKbjY+Kxt0mk214vWTuuz4tBXKPyrzP2yy4
IgugexIk0F3NpSyalUEGKSwOatfP3VCE1CVCLKeO3fw+S7v6A5JyutroncGkYYnJcf9GwYGZnHFj
eg1JuZ7lb/LA2aEQnnegX8rjaPr+i5GXHyajyckvB8qwHtpW6bmcA0HGBwo2L12/N8mVXbsBhm8W
/xiPBWqJKE6641C5rxJR41Z01ri2pKmDPCsLpWhrv0StiZaCBMnpg1OLLdV1SyWYmhWccTOHIe14
j3BqrRtW/rbcpjVAESMV/sFU2PBKcPYbJeaZk1ZY4xXzEB8xkN3jM2QhoR/ebDrXvB/GvLC2sYvJ
TLP4lim7TyOLfii4AKc4+Isa4lcWf3oDmWg2S2DJTWQMFUmZCRRZKLY2OksvMViY2tQ7BHk/PhvE
ysPf90DnExlpJZuWHmGbJc2WGWB9nSruC+zC47P0GPov3qwpHaTXL0u3bPvE5LeZn+48+pNPYzwF
XOI2wn/jlKIJRZeNEgIqHgFJ8RVE+Jtk6NR7AzYGMSvBtZdXeJKoBh7KXpgfwlF57YoeT8SYpCGI
4b3yEC1AG/XC7mQ01iL6A6tWyEzFBuZK29SgcorZuEW3UReCOpQDWKgJcw8YGFKZoctnGd0mlu/Z
RAbkWu1i731w3IsLZd0xzFWMzmKMCVAze/tjkJQ8dUUPAncdXEKrafu65bkxCRbd5TUl18Z08XVy
9eDz3OIqwUHeJtRr1agoRLzB4dmUNkRjn0ydGHSB0YNWKNZlo0HUIRyCnzCGbE3n+aa/xt6Z/Tzx
Bp4XWAz/LlEx31hq/cGUbdk2yUF6MQ/MmAjHosf8PrY+QJ7UVtWDTIrAOQL65wtM4Prz0+CI4b53
8HmskoFOnGnOFO/O5TGNtZA815Sajr4V1UQa06MuIp351OqtJ7JmqMwG+SI8KX2NV5gRCL5+rZHT
cpzue2AgHJNZ0qqLUtD6QwapVz9WXi6JPhWY+zxfub6kIPumAfIXgtNLDPr3hwM5leVqOJapQVl6
NvnN4Rhw7Bm2ERSHihl5uwpnuAoEo+aayYvDuVkDlqi2HtyHl5LA7vumo6HYJGxK03pq70u6hj/5
RH91guh/2vQ/tc7ubXC74UI46nkAHoAvUP94ADDuL6B5Ra9CwdHX+7hRkOrgWJp9O1AoVxfSltXy
bIFILfVmggr9xx+Mzs6bC4eMQ+BxtF6ETwNG//k3R6pPoiKVXZqRwRByQsu6tqf3i7P06gPUL3AB
hEpQx9aVW5CkMupY3x9/gL84V472gdP9gV3Kp3gzJx4TDySD6OKDS1QJgJCKpN9NH1oRxBVDJTHb
lEjuUw0BO3cyWrAXeSq6iasOprAJo9gB+zH85Ib6i8MSQk92TTZ8nuO/vYAqu4+Q3Tmxxm2yvZuo
G7dTWrObuUCYu1RQM/flQlkNS0N+/Mkx0e3w769fONgoAvhHS1rfhp9VBOQglFo4JoB8nENmNbPU
jqCgzDghyewSQWyTkPaIcdA4WnrjVjlANs8D8C5x6+ANyvFJ512cHDrde5FNXGVfLikSXwkmP/7A
4o2lX68/CN0dz6Jv4Hj/FcKZWEaTzoNv7O2EhNiVqBeYNxif2LVcwPcs/OHVLNCKPVRioXkylQnr
AF325WEKkbo8xDaiuLW7EI9N2gb/yerEr5NfzPH20h7CT6HvEdAr01U/Yh881DEdMKI0oOJv44Eg
kWUueXcXc5pmGs1ovwI2BK+XL/vvbOpnsykeLtycf9+Jfp+qX+tKpd9HYn591e9N6MD75RKsx3Dq
PyLv30UqofiFRrNHCCH9Z+KtdH/6jwEVwyjWBljK/Am8S5uP8Yf+W/zCreKzC8LFZxLm5vyTOdX3
9x3q79Alfc4ENchPQ1Cg//yb1VBYZpL3ZAucL+EVbWnBKrLgqy/zzEOqawmL+eYA/cWT6q/e0BeE
/dF3BWtqvVn8cr61FLJ0z7YrUJTqXfES0u7yiqA54H/7WTTa9z32r1+Q25TjRb0VwFX8/guiQ4GL
wY2MKzLxXjIdxsKYncQdF63Bj7/a90vo5a041R4YV+RIvvlW/9NCCYv73HLOeUlqUeoT7ul2sDxW
nojh0C+kGPl5BuE9AtP/47f+i2/JlQSdmzkowMq31dDY5MMM1do5K5ExJAgkJRFzeiIBCBwpf/Zo
ZxrzzWJ9+aJcgRb5xyx/cFPenMMJlXnpT6lzHmswkCtftnSRxszkqT10Pq3MiuAyelDTxHo2t8nA
o9WqabZOCOnWpu6V/tOv76EmAAAOqol5z9tnOroF2BZx5JyD0eHrhsz5ybDL+eX/772YHbskSSL6
AUT7/QUVZ7ZZMIl1zraiTdc7hnr1u5LqLyOI5MdfSx/HPx+K+jh7zKeQlbnMjvAUvSnqUvJLAPb3
zhnF2BclqEd7QcThj9/kvy8d3gTH5OXNWKXenEyiAB2/Y1twXnTjOAsGavXAkwxYSCv5WT6s9T3a
9OtX0nWXoCzkEL6N4ETPbQ0Lvr1zJlIwfOgsiUaMDBqJBerlj4EGnvIw5ybVEZ0zYvFjjOXj62j1
b2Nqrf++gj1wQdpaw62qYxm+P4mRsAS619w5T/C+MYhVFu0/HSYBmpMrlKiYcpvngs3BvNAH3Vxu
XldnxrKC/Cyz96/OgINskPEGZxrR4vcfJscawwgP54KieXKPRgGmQUWaItkv4fafn2zsfsgeUTjY
4u0VNcmAUCK/sc+py+ENQz1CMwqtRAg8zsSP3+z7pZ7l23HAK/mhw5MFk9rbN5NJVxdNI40TmC/a
i4bRksxpMzi7zN8GeGnBT67lt6ZA3pKSWssvPW4dlGJvHmdsrBxBJyQ8mVFLuzWo2L2plmEPk6Hp
PtWQyu0lPyUJMrY+eotXkrd4RvgP/itIveaAgaU9XFaQr+FY80L+FBQ/g11kqoOsfnyQ3Msj9s+7
HAYdfUkUqi5uL9iTPBq/P/3oETJnKm3nhD8Eg/2SLLs69ZB9WyrvV7VZzqSwEq8CqXSNEHL2ttoN
+a4Fo1lu5wzL8wqmIicygoL2utgl7m0mA94KnC33lR5rJhvI/NZAK0APJK0Ywd0lJqbwKCHNjJe1
ep7jA71oN0qPYkc9He50zmcQO/apzTiAsKmz+S6GZN9uMZQxdFsSIwP6GTXWwVIQFHAlJAj3y5Cd
JyOfNLIJh09tb19UDe+hI708lWC6bZjxoM50MG0SvWXdqATtOl4wxlmkHAJGhD4XeqdR6m4xulV4
AtB3k1OObP6V3M3moy9RQZ5KK53vLVSod4boDGY0FMzpJ2sOOWUwijy22yM4yeemINqx6nLvJU/1
OOTCopytkLGyBaKKFgZRdyXBcr9KRosHfB7NPf7hcu+OuGT8NKatzPo74LMKXZ4wl7w2wyYaxpkI
U3Og5qztianOZZw5OyLdQ6ZUr5dhhEaIPnaX5gDMDf9eqXh5FgNhfF+H1RdRkIUs9TUvYyFWns2I
ZVER7uaAtu1zL3WXwoDPdQyjiqNcZoxmFj2ndHDlahwGT9SKJ/UOK19hr4CHttkhxlZCb933dbQP
o1YoTdW8+KdEFyaXVOPLHsXMBMMr8kenbWEaTI8vkXIYprlqctRSL76np03wHCRGpjqYwSOZke+d
LuE7Bolgaq+cgVBd2pl8GFyQ+H1AhKhXr064/2ozZkNT0pq7SQyiQjfzpZlEBKIesc6Ont3lxMms
rMrmWh4y0q8VEzG1D7oeR41BwpW0Ap5FHXpJ5jD4lcSKFFKGQtKOl+sFn0EMUYfQ26Fu3BeP/FFC
zqs2LDZQBVt2Wos4LMvIHFDEnvOpGobqMVjS+RqebbFp1FRbK/SfVrCzYEKfUshYx7iYeRtVTBNq
paXumY1HHk7mBWsFsvMqX4Gl1ZkXgXkunaSWSINCzFq4DwjzNByIFMv8mIemu+3rRMpTboJ31z6E
hPa7qt51UgUVIuK+JGKp7b4EDpxWV/j9TejBVl3PU0Yvvc9ZmdaLzsEbaXlxEIjI/oDDnEaucmfv
VxRP1kbRWb6qyQuJdybR1+Mq7GW6QVRZ7QfyNG7CbKCDSwMq+RTrzFIQD/J69qBLkdwYna258xu4
KKP3UZJJxmheLp+QjNUnfBHxvJpGZ/lUATHZuq5Y1soaOI0B4eiAfMbqEzQlv9uQxqs2udn6e12M
0q2dmNtt2rY0trDUh9VA8bIrA9HphYkpeG1G932ujCMB4PKYtdA9Z7eff4vo5W0RHRjvcCmWH9J8
QCUw44aSFW4NKK0MFvP2xe8c7g+iAWmVl3jLhtbalbLmBwGRcyYiXunCRPT489ZOrI3nk9jZrcl1
8m1wWsShx7U+8xK+lxUGB2ED4ttU6TDCdYx4Ixyr0cbpYfEEtVSMzFSyWZhHbEVZ908y9xq5Hiq1
w9Q2k61n/go9s/5AB12s0pAgAQCa9gbYkbmntVu+46nElGFheb/yHGCoMjY5oz65zVckNlV3jDrl
XaE6LmqD/kz3cklbNUTGLaF0G2Nbyw7u6ledh7CxxKxZbbvXuDVZkBj5WY9fp+NmNzBV9XsaOEE/
ueZWh9UQQQfvidRdxvDLmrDk+iNcmunuIrfw56I9QLHleRz0bkTqo3DQELQFNwCaean2OYnFJL3Z
NYWZFiUaE/so2G2apDwQdTVIh1u/T1xIesBvJ6QvxHVKaKB8NB/sAMKiqvjIfC+mnktgsll2LWru
+UTJ8hOztEB+meXg6DDWLtoWfqe2VeaMv5Hi3cRr+LnuexKQmZImIWk40DuSVTXFac9kNEs+q6F7
yaRrb134QvEa2EijPhSL0RsP6SJRGAYiCf4fe2e2HDeSNtknQhkQ2C8ngVyYzEzupMgbmCSK2PcI
IICn/09K3TN/t01bW9/3XVlVkUqRQCz+uR+/kO/FLljl5ZZUWX+AhrPulqDpXuh+BtZBUnp+mdyh
fqTU8UtU6zctHOuulIKqLw+odYT8Tf5SdeIzlVn6ueb5/JQqn98cbzzBMvJ1IeWN/rzCnc3L5Rob
9o+eS7aBZGDV1cQCWMexKtHVcpDYS26dvl3O/SjtR28FwLwZSDxYG/oo8iLisMPkuiGTtNWWrM56
GJw7aMnVHcZw9Vjn4AUHGDI/ncmoAFCv9o829KZb6XUEEN1E5N5mDGysKsj1m1mtc7ip+4rlIkwI
rtaBc6Tg+UfSGfPTLNPywVLKPA956n6UswfqZqiykL2SqO+mJ/xwCakZOw/atY9GOJNBzqZ0/A60
rbutUaa3TY63HrXeoKlajvWwt1jydiTKFMMxIJIJ01RMpbusauxntOnuMAGAe+pgtp3MRa0PMsPu
Fk7p/K4qAhJbcN5OftQgWl1m37SSb4JkDsqLp82529MEMh645RonsBrtC4ZMwrIGw5dmIwzfhD3F
w3OZ2eG/ADKMZ9V1016zEd42xVhXcYfFjZ5Di+tFxuK2Lx0cnpTwdhhP0smfHlIxzTbxr8TteC6r
4b3U0t6gTrsnnQuWUdtcQhnBwW1w7NWDws7etOIs/WUFjB72VgAnBkhiyer7qxUe/qXQIKqadnhF
HKcXW7vy1sOo/PxxrK3+RVnL+BpUhMcnjWkYVD9kMJ+Is2NSFAhLsPBjG4JSHtGRmH1Sac4+JE3A
SAy98ip2+FHdTyv3FEIC/hC5bZLfkcnVL+YwG2c3lxBncru3dwGBDp/cS+Pu+tF3IfCJHGy94tn9
otpNv3UYkH6CqfE/Z0+SKTQ7j5ECdaH0VBZtRbomCWg6ZCTW5/GQ0f9+8GX35WY6vR+L2maXy0d5
tGeNB6htmz7OdN4vG8cfhqhkd74zKpp0heklMg5Tzuzpio8G22LrZxtXOTK4LZXJGMvxp28ZXjWK
yNO1uKNJD04bQJnqDmwLXIKG7qeHjPFHxJ49Wg524rnSirooZGznj07+Xy3032mhiPJcXP+1Fvr8
S38f/8Go/+cr/h7Ws/9yqe6x6QQgeYegic7wf8N63l/cF4SPfCNQsK638f9nxnVCmpFQDLlMYqRH
hv+bDircvxhXuMgjSD9/6Bn/SdER3R//oLa4WE9dlCOqNa8NhlfT/j/ew0xpGBCgWvNm7sXwNvHY
cfpbfgZaVJcVuZ8zCdgGXbfloz8HZ+ZT0zdvKvqnroVqYQ7jUXGiIibnr2enVQZMWNtLOH/R0UNH
uPFd+T6rm9eabJJBcn3IXZGO9w0Te/vBcfJS1BuDPmf/ZrUG8PuhA8bwZcQ9AbzPKNfW3kNl6Lpz
gOAGRM3EWckLU4aTrB3Kz8rCYUSdmj4Nydi9+pcqwN7DNBRHmAXCUXuE+EQSyq2fmc7IMuxwhZIO
NzrsJUTauJNpRvK42mh6to5+u4hXZ0nHnoNLa7VuBMpTB8CY/MW9UbSfmsmmXBA6nxPK7NWExwB3
fJwx4PteNEnweS3bxNEsRuaOZJJaE7pYwHTdfNLrQKZP8hE4XOhW3GLGXq8QgjC7TQprnaKZ2odx
R513MW3XtqAuNGiLQ51ykdNNLusNm4hkD9cBB+PAfV8m16ERlflPPuZPaXW9F2tVnHvRtAcQD69F
m4MOkTNAuDoEGzKnTHL7Os3ecp3jMlwgO/mBPlOLQ+GDUm9jWtOQUI33dq0zRM0pJMCdej+lTmb4
+/M7vo4Rd1oYlRqZSpeveoJgshCPPyKa/qDNdtiCYlMwFNVIcNyo94ofKc7G9joFhpzvZ/4uEM2e
GcHjtOavXiXo38zl7Tq2HOLL9LJmvR/BI39v65Hy5LY5lBR/Q6W0Y73WXFCWzrvtOtPCZLXeZ2nN
gVeUrx0upFgN1C6X9fSL+lvvXHtrcj+HLWcCk7K8UCksWwA+ykWVe+7i1+1luhOF7cXTRG8nReXU
opOBPCGuDudAzmJL2sO88ds83zWaLU4ZaRatTOl+5OTW97Ac8x8Bq+5RD8uy7XrXeEy7xWELTX8l
HMbvXEM+uTLXT01NNwfeK25EeZcfmvJqIM+JjgBmY9bXuIrIvevcsC5ku4GNfUd41QFSYoT7yWMz
dXG4SBSmOGHt2JTIDE2U6PxHa+MLm7ijU64zEEs06zFmxFtzH5SYTWgS37jmBJPe4B4RCP1suY25
AUf2ip/5BugG9vex6zeuNN5cuk2g0unimPUuR4vOyb9s5Q4faiUDatGRWNJ8zdGgZ4emC6YEGV2q
W8+TvPHk5/sY65fx1UoPrMTELAjYHUJZGg/FtC7YQLVxEKWpHukUn/2nijL2ewJNnF965Ksr5MDb
Xfsatwlb3hhZlSqeKbyRkcRmke7piBXHRqUDzdK25E/jwWIImszyp6JYndLZabov5tKKponHIg2n
ytoEWi+ffceiuk19ZzkqmWNkkvMyh3tKZ3IdGYtn6qjn05aw+Wb5ZeGFzoE0J93O00plX4QTcWqD
Z+3J95t9N18ElQTv5Jhm3C/UP6w7a6rN26wJ6/2cB12U9YZAjG/5m5UzOlPh7fHvskroWUQIBMbW
tSeF9X/FJd719jaB5rzvU+4iIuAczjT91c87fakK4zuv1JtYc3PTUJIAEUcepdE7l8IUZUzlbXHb
GPlnMgZDnIsuf62Homo3HlnNsxiWycJFtdrxCoTnvq+Tl74SZbBheBSeOnCZRyukwse3pxOJ2e4R
2dZ4otDO/y5qN4/TMuyjtQ5ppuVmyGtMvkhsE/ywyBKLefaSpQW3I8c4lVJeaBNpSWnmza4lGr4f
rm8tp0wPhxuuyKTnVmegs1A7MgGvcKhaWMbDzEyOEgLENfaSFZ9S4jUPs728owm7B6Jb4c9BjA++
vna5jKU9HexA4uUvoLeZJvdTe7oBwxnEXCRseyOtTn4lreNsC0MatwvTPiyByoobc8VB3nLCXFJK
kxLHYj0IlkvOCftuNczpvOS0UzWL8uO8wYGoR0KaEwDxrXQEQJ3Q4bQ2U3kMHhoyujXsKYYbWIPl
OVSsWitlXxuK8XgSMbLdyNIBjjcP7ia15kcVcEUpg5boilMTwFZteOg1ndtLzyXPnNA6LQ3c1Avr
n0vXTlvTuELDLQPqL6wJbi8t+YMwEONzmBdAiYJyiXsu7Wgh/Q1pZIwvAMZ177/UuQ+/M5zVzhw7
8gsLYXTDuXZqNBrOhqr10Sj7TwwE50om3GA05RbrjGmmEn5zJziZnITmF9uYS7GbcwkdGgWWq4dP
qpgelA1p2RxrHC47g5a1jUKh3Ii6ZL3rvY+Vik+aaihAzUr5IdqypGk6we9IkHeT2POy6ZbCOvEM
IKTlThbNZfmlvCrcaVSYtOO7lmvIWlYsbkK9OD4RRDKWfhznP0jOUaFayeEe5GcSZZM1XmYnAJ5f
AVvyzPS9tdyvLux/OTKvdpXLgWHSzhuXlYww+di/VgHfah0cYkNKy68BvzjNs0UZ00JTb/xxzu5J
DRUPoWhBygdiPU2l5Mfglx+qTojMTbxdrFLTW4DVKnKkDVoZWvSU4tIrIO0TAs6rH4I8eVSLpb1R
EL92xeSjmoRGsxuLtT4xjwFTtaxONNnLjzGDrTuR7EJt5TPMGG0hL/UBsiBA85Jad36g0Cm5gCJz
NPzAOj7+JMvinde+lGc5N8Fz77t8LVe0Jy5mN2S/KWCpwvRBwQ25d+GWvgMhenI9j7tPlV4c0Y4H
WwUp8l1WQPkfKereZHnmvIRuOaPp4dNbKHF31sQT0Lh8hDE1YY9f+2u8Gce4FaWt+HQb3bjxwu95
I8g13k3WKg/mqv0DjVTBx1yO5rsyMb52ibxbTRvhYJqy6YC+at/RkjBBVS8QbByzk0j22RKFGI8h
47ouT4RZP+Jndx/x9oGSZdU0OGIwUo8IkVZf44Cf4PqipvxOmTRdbZ6Dtye17PLKNJ5sD8MYkqhX
gm1+SW0u3wv3KmmemCwX36AWmD/Ilh+rGftkXLRgf6iI+oTN4j41VLL/tKiHB06FJQYAeq70TYdn
qyeJmRUq1u6if5pVwN26VePTOhPcTFg8z4SIqj2W3/vVa24TFH4/ntgO9MEy1oLH2Zv8z4SsdpSJ
0b8LpZu/ud3gUCCYu/FQz9XWze0OXzZg5njo6f5qIYM/DrZDAJQC4fFCfgkDvJnQqck1VGFjZdxQ
x5Mel7uG9t095vVil/iz3FmMJ7cdn2uPqGXsC7dI6n3vV/kbq1n5xhanvlW0vTyVhUwYj/j5jenO
nHiT3jv2UCMJnhpjAk/Gm6vXVIDsuoWaea3gyDDIEytqN5k5l9TPVOFR9MMUZbW2qPF1mg69LDW3
CMDDg1y1fDODVX263TwdgrENb+kKlHdOmg0vre0OaMxjW8jY7r24rN3rZDbr19dwkHVbcH0Y5+eU
MX0YcU9SVFqHnY2dseqWaZsXvA+3uEcQjoOk8l5mChW8bykz3TWGwsvOGign5EUcoEkxYEAudMAj
Xzy7zN4nn+IsDivqqVopzY4pCDHOVaPz96R2mx3e49qJ61VXN/DzzbgIijTYOKTZgs1Yz/Wbmejk
YeJ/PWhqFeBnhE/0DIJYwq3/o6kbikoYQ+w8uaa3Q8ORtGqmXoLGmOpnCx8Fyoov9kBMy1PR4u1f
apnFJByrqDPWaty4Q+fuZpgHD5XjDpTIr0lNYzXK3lRY6lQ3qyIlVDQH5SNHiM5OlseAuUd7B3IW
9EKYarNnRhX4HlG5z7qjqmAEV6CEoFSJ42YeqBTlpZ+dJ4zXHlBqDnht4A/joQizOsTusEy0QGvH
gFFYWFtawpshtkHhbzodAJqALmcfZOa5b+SdahUzfiB3NKB6WT9CL0hi0yiS9JRPV4YGj/CAFhKk
9JcLMA5RSbCA1UcO7WmSBiHuMbQedU8sApnI2K8u3NkJ7v+xn4fuZuCZjJW081NXuAwChfK/6qF1
fppNCUFioIITYlfdPY9A3PN3C/Uwqkm74Z33wOaP63qlUQTBL/Il6cEDK4EXXsKv7/PBf12L2dzm
HqvzNiQfuMOJsH43OVjfzguViRX349bvzH3Ltz2uJD0fOmZq3zLt1I8gv93j2uVzJGqni0GwwhWz
spruy3KkXtxMOB1Q+rbXaGTRMBTUFDg9xgA+4wtzhnortQ6jtbGKbcpex+G8X7ZaDHKrKv/G6Jop
brm4wyjOw91QmuK7iwJ9qMuhgyXOysTkL8AQ3Gb7PLWneGgJxNp57fHrHbP5RxUa0x69+87WWfhp
IktNfJLNIE0BW1gsB9oRIO0plZ5KrrR6gy1kBiPr9bsu1O62X0ruNzyUsP2KPNvOYJa3YcU2nkD2
+xg502+u8ZiDwTQ0NvCTwtD2QPvBah4jopsLAisldm3iwBYLfeNO2uvy2M0ZVK4SzRdfZOSmjQ2B
eUblrZYs+9V1nnNmSoHih88RJ6vBuzuy8CtY60uVVRGAZYZwpZzYdOblAdhYeKHhvNwWsE8OpZe7
W9zrLJjUOxwp0bgPIPEzaGAUFqku/Q5eroCoDL6Ng10fXEqjH7AwYuy3KjS1ogrt9zS0fAAEI+OH
Os/qd6Mb33sbpEk2BXvH1cA32276NDUbK12r681C2pmfn1LktlxafDQR3mgpbdQHP/Vib62+A3PK
thO/LTI1+hvJy9ssDWLaeD+hcH0bCyawlVBmu6W0sSS/YdtbWrLBqVE+eixy7GrlqKkQS00v4sxs
kfhodFFth2vtHRPR/tR6xZVoPfqo06UficHJT1WalvfoD6YZK0erYDt15nQZJedtgowi7q/yjw7G
7ibs+woWPMgF6N3mr7nhilbIYjrUjlTxbPTioZCgw8pu+CkzLY+UoBVUFJSkf5ghZtnS3QSdx6xE
GOVRQHV7WMssJUbW/+C+xlFsafIldtaivgEJP5Uo0ePyNgFFIz47n21YNa8cpZ5zo2cwTU7qNvPs
GYLPysGxzW4S4Ke425UxMJBTH6HVn2drsTfEI14bilKiYnKcXeeRj5xdO3jLtFVviHg1cWgGUyRU
4j6vLQWT7lqK22bJTrnRvMuOlrplzJ4Gz/piwMj5b+F01KQ0YWateGfCVt3YU+N8jkQ1wCgMdtwZ
9avGrvHVdbWB5s2AWuIVmzl8604hD3v1Y7BIEw57WmCx6YLkYzJVSZZhmgYEimV+JDMG4bwKkgTZ
CVYV9U+MIDj81xZ3HO3uS2WHjw0LFuNB2209/nqJr+BwZtLgTai3nllChgW8M695qrnqJDG/qs4/
UxTY3cHI42BtlcSUxVqCViUJVhEQCipr3IK96i6YJoMb/oH/VDbBl0jFo1O0LB4klY5hZ5bHxWVz
tez5Z1IS7twDaMI57QHu931MuW6ljysVnrzq1iudCU1UAVDaKHHVAq81L0sIlxRHHwNSl8Reklvu
XrichNNRsCR4epjmQ9Girk/9ByjHo+aBj/CwmzdlapyTcOSsU7n9tqB/pLMmuSPO4G8pDa2OnYv8
14fmGDUc9SNOpiJKaHIa0umBXDvzAypXVbK421A3D71zxT7Vi3/T0OZNrlxmFKksCIhrbdzNwnnL
CabdysQA6Th4OXK73ewzs0tJ99TWQWP0jwdXjTeNTE2UC9niyCZCNCfhA2w0ZLhkzqOsXT5KzC2R
kIu9Y5RLoknaP5gmW09zQCeIp5d5iArVzr/c0Z+eWPswRXguHWBUbx+HHjHKtApGIAaBbsa96Cx5
LraDWZYHimrO9PRSK7jaDiXv+RyqrZ9azPcKvK7Hnv3RCteWxNrSfQdZ3r6DRbZhqBrr+rOkjFjj
7iiN761XD3e+WRmHgg1v2Ni+r4kPFcPJL7ki+WFQYGjM0+NAlcTWrpflB+csXq0UdCxA3eCune3k
vMpM/TRy7ysdrIVIJ70Oxx4Z+oGeroSkHAVeUZeb80ugXXUvROasl4EGMFALft3uUUGvHcGSygn8
o97OanOCXjgy6K4ReUP7+bp0O7iOGfeFxLhY+cBU3mUzOOTJ9Lyk7gsnBPepZ6q+S/tFHngPlq03
jBaXq+B1pi5q02WNeErJRUcEpu8Ca0y+15ohGMm2ICJrIvK44pJu3M6CQ82papBWezll+B5CqXcp
oamI0aqnCJKy/mw8Cbh/nyYzuC0CxYwe0cI409SetWm43HC8myn7iQBHDa9D5/S3fR8EMAWYhJsb
ZaLxLYTaI+otrHev1aF9mXPXfJ74BjTk9mp9UyXeFl7jBNEIgZroK3ays606IK48PXhiulnu577J
T2vXUcDLhhVu5KBSTkzLDGdfyFqyzV9PQqwy7+St/A9nyAhklKqQh466jA3QTGpIxgAj2SY1qinC
UqCfXNVJxCcaH8iHLPRcdQLLSiVGkmhZWtCdlyZArdDUlselnDS9I7xo25VAJNaFkYu3FmzRHEHr
Lp7s7mvmeL1lRPCwGBzrMW2ZR/wFMnY7BZEzT/oHDfzurSg4gccutF7u6651P/Ytg1ksLMHjiIGE
E++QtvdMvac3w8nV0c56dJkrzOM8LIZ8KzvDvMCDXvaiCwCiqWm0H2iW8B9DhtI17VRJeGsYmfhB
/qY8yjGYnoSwEUO1ULyloG4YI9du0IBDGGnRwOtS8FLODjuWmlEFN/YQUkmCwi/ZT6hSqm4LSyxU
5nizy2+6LrZ0rqRFrMvxfk1HBzDR0jEFRYZ6Nlc/PWJGLaMGg+0X03ILj8LIQW31iHSjdAyXLAyp
Fk2LvH9T3rWDymDXTWkmY7On94HLTr4107HYM9Km7wBp9HaglPxmmk25xRxVnjqraXAj+JZ5atd2
fpEFYW5WWdItGW1CkTcAB7dzaTx02FIu5N+DQ51Z6ZauaRpsRtOJ7A722cYYZnkOqtr+hnpLyLid
u2eT891paPuZbjZO/8iZPiqNATAgKyZq1KjC1cwyoJmN9VnJ8KcxWaQbrTqhfcGVsbGs1jmceDXs
QmTbvLdvSJYH94329M28uNPRM/x13ngJo17JrUNxYozQm4fjSL7wbAx+eSJl8wNTobWd8F3uimD5
nmIIiwStgQT+C2RFK6nRyobl1chhNfqDRaG2oI7e4EHfZxNul2lYKHkfWzSbtmwWgdC2xpmt8dFY
pr+RbstZ1lyH97xyloirwnpYBu1hurNGdR/4LTqwxXA2xqU1VY/azXL6YthsCrrOS/SsqTxRDEFx
K+MbNFaLk0ab7awyWDdhu17ccuXfmwkVVBQ3zkTzNmIqX8NRfLNTFmvXaLY5IPprmf33sMGbEqYM
PGYc+DEQADOmJqPdCat0DrNT7520eFwDIrotDlwY0eZKu8t6Z2e5vQGk/UZ8vLj3UnVIDHHgYCX3
0+pMH4ZmDCJs45ttWtAiVk7IGmjDvpvYqKHnfa/Don+YVf8A+6ZaNmYbsLVb14tgVhl3gR1SMWmK
7IY2CHHCpPHpGL46t6IZYFRrZ5MzBkPoCZ1vcnbpQaz1aeo6fTNU/dvvWex/x9b/bmxN3yqG2n89
tn5qFS0O/z+YFOPr65f+HSYV/MXKavoeKQMLYBOz8L+NrwP7L4zG7nVmfM3wXP/L36fX7l84zC03
gPJEvMb9Xy0ONgQ6+hIJ35ChcH9z6/6D6bUb/tPw2gEiZbqm4/M9PdsiPvyPw2uFq7VhC24PevKt
eRtmJZcCVOlwn4Fo3HmNYKMDkxk8hHQiY2bNm/wye7qNJ5CuQUxRA7SPJLfffht0W080T9PoJR+E
ILBfrvbckTZf3UM3cANhrGa5t7lBU5pfNq2OZl16dUznC3tAZuN3PgWVkV1KqzXKDRKNDVKyp32u
Z/lGj1iWGVi28qhQokCy+RprZi2glhZnVxqjc5dZhb4vs8SJjFajcJq9gQc5Wa6CtOdyMzXsjNcK
cY+JLNbVszAGEJRSYOVRtW0f5zXALKtJo28pvZvezZoPFTPukb/4U3BCDw5de1GimpFeiK6nHdX3
quUPKUgnjYdFBbG0hK45u4ecGJa/BR9Qf+X8wg8udrx7r3EZGltrnnyuntsD8wVg8NZR+cj35ZO9
OTBl35rZLB/D0gTqrvOMrsukecb32d7JcZiWW93rlAIfJbiKw+QMrlWulUX/rNW35mbNuuABEWDZ
9gQy8D5a1DNtTJvKyA0mO/8BL1j3YaVBcJ9UBKAZ4A6mFScY2dh+KeDd+QF1he7q3+iu7u5Kqw/v
3RFN+1TAVD4wlu92WGbDU+Xl/Z4erWsQP4TBmdGGipW1aZ+gYAQPBjiQC2UARGuWwD3UFkSfOhkA
z7Ql7J6F345RQfHRym/vEF0IPa5OzTHTL6yjM4JwJ5euHA4Mwh0PzMElf2fL3tkN1955rfv3gRX0
raNnEJTf2rsekgf+aMuoYZky5sX4xdjmQXfY/sjehE8Cl9qDhn1G85EeDBTQyf4QiR4JQFaGC2qB
3fx7AFIDr5HFaK+zqSVkRpseHY0Gckj8Xq6ol1BC93mijJPAQTXDSEJbtk0y/VAcoBjTZ+iWLgz9
uVOPPki4khpcDWeEbih7Yw007DbW4pyzP4l6+3e8PviTtfd+B+9T/TuFb/wtk/87oL/8Duv319y+
8TvCn3XXOH/5O9pP+k+R88fzEuy4NFzz/0k7GEw5f4MBiFQACUCmBA9AEs0dmJ0J85ufpMYTJ1+u
VWVy9mvK4vMrdyADQJBcSQTVbyhB8YdQIP7wCtLa9JvYv3IMCAnmoKpAHZhXykFy5R2YV/KBJO90
06/p/JpLLgIGtbtnuE79duzkY3GlJ9D7wQjeL4QV0EGfza+eRwfZgdfbeG6u/IV2GEAxKIKpXYQH
iM7TAlYDNOIUvPLvY3PDZzgsZs7ICJuwihdUv1uDicRNq2i4WsLmsV2DkyzG5AYr80j7S6uPc15w
twMEu3VkxrS01fvZcIxPd2WloUIgokl3rwPaCpZcWJulk/4FDNQT+LGUQo0ZSaFwX62BAuMC0X+D
h62949z4yNyUoQRlxBtjhMVBZ+wVz5Ugv0MboFgPH1zhNrcmF6FfxeJfzFUk7/1QzgDr+4pByRTc
FbheEbeQX51qnO4tldi7/koTmHNKNejeuuR9sOwrx5RRRhnlbrFKLBgGX2WVSxnlw9B2ID3W9zbx
XbQM/27tBkZbZYIwee1QBWC375Nm2BWegW1zSOY7GpiDDW7THyGr7b7JMSDmmGF3kAqKiBqBkamq
IOPS0qFRTZNxLKDv3TK6Bjrnpx9tLphcW/RklD7gFpjiiC+yHd7mop8PZp3KFwDPkgdjNvbpoL/U
4FV7DrfLVg6z9TwRq/qgbsuoN7RhODde4dRYl0hl3iivncuDXTsu3ZN5t+N2gKO/SwFCdap0jkFC
DprWQf9BIcbTOcDWVNQYGaXr1DwV3upflrEHS8ycNi+2QZ/Lx3Dsk9ewd6+hnjqhTEZlF647/Y+m
vR4zMdSW32hGrHcW9nCkFRHsavhV+3adcCfPifnGXNXYyulaAozL/9IEgNFoUhsOtV0HD3gSmjPt
SMbdeKUdk5cwEQ8ADqXj6l3o/rX0RmlZWkdXF+kpLOuA4unmOjmWufKjUjAY3fQeIxdnZkjoyqs5
RVj2xU4SFLA608MGDTvf+y0Kl9/55dEYUkZcXaq4fSrjVXbm+MYTh38yVxhtTXu4loi0D3qVJlHW
sokDyU9aVTwGzrwztRgjbWUOpSpDsplGCueHxC9+2aNT/4KLg2M7A1AfISnSijIQtjs2Pjt2VCw9
UwA3t15aaMmPWVgGnxxy0y3T4+DUJ+LDCNUXNdHpN1JMenOtjotGx31pHNdgkjCWnJVR7yYL9si6
9Al12c5e28VH4qmfgejd/do6EnYf7i47X74t00LBb9WK2PeH731Na95ko2plutwOluh+pQlWtrIw
2lhAQDlMQjVtJFbcsauXWLjlvWFbjnP50FjepUllc6pXDNq1FEzcBQxYWkPII3Xb0arXy7XWiiar
8VMV2fPCZTHgLsc0zEYJsSdYMpDjYpfzer8Jr4tr6V6FVLunCtQZ8JKxy+EYSPLvoiyfDeG1UON6
8yMTPrn8PPB/DdbwqCbrK6GlJhhycDqG/46fz4x7PE9MOEz/GC7JeurMqzpo9+9tunY74s9HOOtY
6UiJbKempxU3nexDoZcaTbUDBo7AXXjWSz4v5animcc0RauGxSh3LwqZRZ1Z7Iep6o6t1E/OSpLC
WrNmU03UeGTF+gmCyomkrdonJhhTlI8rP+uktpeYYMW0db2WEWAz1jut6AAcjOBnkopv8K+Sd7N3
7TsYprBcAvehtyTPlfuzFgiwgA1Hmm/z7pYpTHurevHLr+eIc8EnU/g+ixUfCU7nSJV3B613dDqH
O20GGCXwMurnZ//RMpaUy9Jc7PBf6juE2uR+oMUc51rcVsM+z8xLtow4v3yqR1DVUu6RmliJRZDa
ph5So8I8JldQb4dGpDbgf9tHlakWEwNN5hOUKY/eRIct/WT0oxeP3voqgeNdD5u91dwxjKZaeQ5v
oS1/ARk+9KKuNplh0nw/3q0VCkvGpGagqKYgqjBUYObXUT/PXHQ7S95JozlzWgNY4uHpwkCiGUhT
NpBM9GYtID83dFZT++3auZtstO+4p6YgM+bVPahxPAVi8SmjBNS03ouhKf/kC/978fs3Fz+OYoR+
//W97/8M5fdm/EfH8p+v+Tu4IfwLvpBn0tMAovxPO9/fwQ3OXwiNoIeEw/0tcEO8zH+/8kEP5kvI
hVPPB/3mfwPGaR6xLP7vgLjnH5vzf3Ll++e6EQumDtA/rpAWeU8+6T8Ft6+Vpk4nFDXfVQDs0jWm
y9DIab8mmT7Sn+xy0MY3y8Y2L58gd/yTW14PMoGF/YpSd5TWsTO+k2sxzyUdK5e1SYhlFAUKm9d5
TYw+518ybEmPC6P1Z4ojKuYt1/7T1LM+2i4JtlXh43UVHt6dsf8xjUVx0AZr3yYvZra2UXXrT7Mj
HJlzImT2gEvjCRpheQybCiOIb1d7ZSMbatmcW1fkEMiSOjaKOjta0zhDuK25iMC0pQbMSP1j3Suw
MEml75jqVntYpUBWxnSiidXT4kEbKrz4eWmerSU3z4u9GOxHrQ3eChbl3mpF+s0K8xDOTnlvMaQ5
kwR/ZsbRxpaHlNz0Tki/Vd/ZX3jX0K3rKxPLmhoRAZuS91wdHca8IGVJt2saZKtc7d3K7D7nmT/E
HmxahfKh2mNnK18gCXpop1Bq9l2ti0M4ShnPHARi01+sSFpCvbVBntxJlc0Pss3Xn8y8lm/NoOyH
tAyWg70UA4aMQj+gO+SRiRK/6xNCNub/sHcmy3EjWdZ+ld96jzQH4A4HFr2JOYLzTGoDoygJ8zzj
6f8PzMouicqWumpdmzTLtCTBCADufu895zujU33O7G7c9Hmgd2Wf9nttJnwM8K4r8q7TA54U5N6J
7L4Ynr1iLEBSn1eeWXlwBEg5bruIkXUC03PTICvDf77kphpH4sGSTVAV85Ps62pfVb36FngxMcNx
G+EsIiMKuAcxFVmYXZtELRPKQpjSiUXaR4o0x91ZKaf4MUA8+KIrJyNmyilPfukMd2U/VPeeL6OL
GXD/Bc3UkXNnbUdPfitJBetEeicLWe4z+E1ILKiBD2pMAQcmqW3fzJOOLgLoXDtMrUj0jJLWNfJh
yvm8rdxN1KDadIZIXHOq06ciaB1/Hc8yfSPfqrz0HYcaY+zsM6ct031WOtFL5+rouSK9neNDqW4y
l2iNkXy9S7Jh7DNrUOiluiK44tzW3Mez7TEDb9JjZnTHklEHjZBcuZdWVVov9BOciyqQCVjctDzQ
rGd6h8KOEHEZqqu0HM6skDhd6m3st7SjuzAg+qBzOatMY0LScOnr18pm6FWRYRvghiOAM1PHovIl
hXzJGFzn1qMtkzfAwmWwNgJpvWg3vy96e35smnJiXJeLG0AnqDpG4MgnZTQLrc522UV7U5nk3znV
a+PX8bUOyN9ZSdv23kgSCPfE1DHkmKP0wY3IXeltXN6iT7KzOOAmDrYdLYdMxi8yze603bSfbdfj
VM3p974t8mNgDc6pGKg6GPSuZ0cjY47SOLlBypHeKj89OMxdTg48q6NMsmLTcO5fdSyWL23hIb3n
BL+b8CZtIKaNULFA/ZW027/OI5GidhKjNA8nmiClSp61MMYHnZd06bFjrrmhWIJA0jGqd8zymoyT
Hcl6zJXq3o3BhO5UG2d7vxnEhet6KIvTm973+2fDZ2qQ0FG7iUVgH4CbMytNB4b/uejrN7Jb+Euk
2Axi1OhbBvJnUrMztkvA3jM2L9JPQGlzRhj0og+dp+AK5X6yN0bAL3QqlF7X/eh4a9egPRP4Ex37
mR4FfmKszSTdPWB6YgoCabbcpHVQscw1pAx4ODzOgrLCpJv7RFKaxnOMN99d2tb2FlmZXrECiLVX
5w4RKtFT4g7imIpGbAsRVysrTgoC1cIZsV3o3ajMJWKKwD0mR4HR3jDeSDh0Iyyhgn11Yj3CClbu
tWgWdXmZ2eKyx2+3dgnqQcnqps42gzj+6LFrXM4yDJ9qF9kEKuZP3tw6B3bEmbNOg2YikHjP+iE+
b2JEoCiUvPOsk/V1G/vVRSyG6tHwo/SySbJyi3Ux2JlewQAbCDeKy8p+SobMOqALs7eIzIpdOMbW
VwZD3cWgvPJVolRgc+lm+RwS9PTQWliRV06UgEeMvYDMcuKGMIci9TT98No0aewNYDfwbVTjHcEw
2DBCNW+mqaUqGC33zKURxjwqLcIrW8cDDxqCWs+QquLOdvMejWRHIT22QETn8iHt/H1kljHphj5S
1N6WW8h1okQZKmZgwUYuV4qwIqcq+kuzD6wTweXJJyxFyWawHJfqiO024hU/a5BtUnS4I46NqvZe
sEBEm4yG4TOtC//AyoSao7U2k+Wo67mLjbdSaiaDrWvsskATxBTl6VFJw985MmhuUkZVD8Hg+jtT
VOKOoHICeHpwaZxHDYwEoa4v64nauJmnNzF3LP/U8jMtx1EG1GmDCRPXtVdWY5zhibB6nHU1sFrA
/oPKEITlxDOyokXixrVFzd4fx8F9pziI0D6pUvS8ttfeVKj0DkXIK70aqWepwpt6yFfad6tvXl0m
RxrOILxJ9juPLAAWbp5d48dPDq3qXlQNgpe1loGuC/Hsc9I6LyoKX4XffcPl/0LX55YJMrFQ81By
vSo71rmetnUV3VtVUJ7KUGvcyIn1mJDX+maDVnmqfX6wh2XOow7BvE5OMOQj0Z0IT6z6dp86RA45
8G3JXXVWcBoEqUpW0cqtQ4jL+Uhjn/EmsqDrqq0mB5Gs/62LJts9pP3AjTOm0Cp3Rk9Z6xcCiw+n
HgCnJSTRssJoXbKAcvby+o05+smuSqYgO7nGgtoYYmvDIS85M4MpPzFk1S9EtVWf8DgGMS3jMD3T
IQDP+y6cQ3+fzgl6zPXYDDOW6qBV8Rc3HBvjQVU+WjQz7P2cbPsoKY7V4jXI310HXpHveqd5QrGM
b2mkvSBota3aQD6NhjUcnIjgVBSWgAcWI4O3EKIxrp+iWp7TDWbWKQxktQkYhUdD98aBs8hDPofp
NnQsfWIHMe7w6wfnoOuQQNMPvexJVr6suZunuR1WbRgNrzLxplO9UHZpSXR7Mx8RcXfLcQs6A+RO
ZddnUXRM/B2G12nTF357cFNbYtmHF98wgFkT+IpzAspAXBnBcZZBiybX95GXWtEJIdG5Y6Yp3Giz
PA995ucTEbefOtsBW4syeR9VfYRYC+aLEUCmrsE8INeTJHgWYcJG5jP4VNzmQydKABOpBf5D+OIb
sQMco8ukxCfGINQ2v4B/cNynRnS5bt46qaEWPfiV5MQBBjWNqB//M737v0TBAL8SmEH/9yruSBAH
Wbw/+E7/8UN/lXEaXJ62bOxKyBER1vL7/irjTGo15bicU4h0YTpHwfgXf896L+OIdATzuDSC/uk7
JR9mcbC6jNH/LAutf4m/984L+x7/g+cVb7wSEPGAipFJ+ePkLnIiGaM2C09jZZJfOpS8aoBFnLOy
0gYBunifGJbEHnGyaA95SlXEfIgs9pECDajDoUY+4GOPJ9h8nrUEntAXaARaIcabzpaZ3FOxTMYN
MPv6qcqlo9Y93BSEosjCmZ9ZTX++JKkilaW0sACuixk7adE559DzkKk1BD1hSZ3bxchXgKZJtU24
CzO6cI3qwj/Bp+CwKhFiffZoh7+99zta5A7bAH9DvgrLRevK5MhSFCiDtM49Cz1342XOxSDRE2R9
d9uQZLDTjYlBfUp7YW8YnEZ3ZRxPN8A82ss6sLLbDL9nTsu/MIiBdZmd4RQUSM+duLxNFfZ+fn3F
UK6YDsHgIL6HmHJmhi7JWhaSwrCIip3KGS9ZTYivpkXvDxtY+VBfW209EZAHvcOu0zvTGh2mqPJT
0E/llSroVOazbV93VlwfGTnKTWha1yFwwY3KHb01JlgLIwD/a1sb6aWdD7dKDKwnaYrmlUSb8A3c
dLmXGnh4rWnzmBkIgoit57avbc3XHkbBRdM18nIIoWSt2m7uzsWwJcm2uPSBHX+Le8fb9YmcAL9E
7jqodXNrOd6b8n0KP5+xoWOE1YoBbrXikPPkSQMhM+dwMj3UqR/IntGRl9/FdWPfMsQaz+xSD9dR
IyrELuFnuE/hKxrKYTMH41kq1LRRHU43InQJN2QCedMXY3aX1kmGnjBtLmn3hgxd0QD5XnJTp3F7
aaBXXke8sQ/JyPhENtZ4OUUNcQujsram4i81xiHANeQH97OrmRQAfkScG+eFx6+NY6oOJPJniJfE
aRLdl5T//yroZHqje4RBEOp971ZHqrxxLahMc+3HPnOEeb6Ui0MsLntjz7y12EP/yG+FxROtna49
txIpmXRYKybYEn+i1VwUDBBf+lqrCF5+G5JUASimlAk8dtvu5aaCbrPvUOnvjApbp+01JxE6F33f
VBpREvatqqC8cGN8nIRd9lhBeQY3o0BM1flGS05T+2gY6S5s5ls3Qo3j6zPZe+OKQcbzNHTxdWjD
QWjTRxPQEyNbeUuUZ7oF4PjWlFofs7h4nOyllWs1nzJN4Dr8KnysWWSd4bZMGelzp6YvBsRgSBao
T+ZOPOEFGdc01/0DvhLjYgA0uPVRdW9iIV9YDJsri4bEDnp9sU6TQB3Jp5aP0jFwOcW62TDaFeSv
ILok7V77oVpGJ3hC/GrbabAeqa6sY9ywt0fnqOiYvLUAohgR5z6mWqxBiKNktqHnQeE4lNEuGeJx
LZO4uQUAmN6UrgqOPRQv6HoJc3oOaTfZmM57CF1EMiDX20Pgdi5k3Z+m2h6O9QRhazOYzXAzyPYR
SoaBTGdSWN3IguIFKxo5iLs8NhYDYGWis72e/MHOzoljv4S6/pk8PrV1nNm7j20Ek5J0qVVI7+Wa
Y1x0pcLmNac7fVRERMKtMF+dEjXuKqxF+6mh9bMXnOeYyqTW2ULg3QlL8UgL5Os9GPpFlJ9eTyy7
hBGx3qVFXRRrnU+f5o5jMJUmMZoESJ4T7j59gs1Nhw3lbXVX1TihBU2igFPwVZGF0lv1XgpPJlC+
eYT0EZI9RReyXKWqF6uG0OxjmfR+sYryNt0UZe7dtrH+VhZiWAfWaO4IIYGDrlyTU7mBbm5FJy+D
HEeaFESgddGpxau58OUYEcyYz9tsN4XvoAxAUws2I/wTojH1eXvKchEusSNG9UYIFba7UNKl2ZLK
ZDkM+t0Ci18xuoekQ1h2PsrauRnZsO/s2ucVSQYevWPd9uqZyJX6FM4ZFH9qO/W55elHiNsRsbE2
DV/L1eCU+rYiucfa+CYQrsIS7qmafGPXegS8HvyqPdIeCK5CUqjuXCO29Qrfi96Hic+D681D+FK6
stn2yKYPZhSEry6eNog3bh0juZtaeR7YNYpJLUvNOR8txrFnjn/B9Kfv6UHOdBNY2r/hmQHBaEsL
fwxJpdfTaFViw6GUjuZs5iDVY9XZtNnGucPpZFevVS2iF/bkIKdl2F00hM1c+b3yvgkGEwjnUt++
NfCVPBmc3y8Zuh+1SW5tltkOdkFPUdIyaOoYkeNMh84XHRUEsozVdk3EsjVtADSRY+vBp6lXMbCk
x66fFKqNJv1ixCL2T2QJWGSGYLS54SDqPLKPYO4d50XzMFkGECZd+gyWzTA4UtSNb0kUeZLFiLgz
L8n761FXKPGzKTSuo9hBV4NEoH6JJz+5BNlIwG9Pjw67hJfNR6+rki+yrRJsKvldip/SQoec+8fE
BAhlItxJMAC21dVc2ZW/bgZsxZSVkU+5Z3niokzD4UUhw/1K46n65EpJwCwRJMxCAw+C0lhhbGLC
01/nivVmZRPk8SbF1FxNNdralW24Dc6uqawP2hjKT7i5ckCzs09XzmztYRNHMaQZXDfxE8WDxKte
2IgVJCCDlTHa1eXSASSsCW/GHvEECcgT1hB8AKG3tXUtXoBk+BKekUhGGMWG2nepjG59D5dTZU96
nWN7i7Fn09pleY5dyIp9Ru/A0uc0uaqTiWRl4+Cy30x91xDSxAOn0xIKuFvLbSWYEDux1W4VFnk6
yk0Jeqlp6cQqtDhG36Fz8ot2M+q4PDZaIhLM0hz+UI25ZBUFXWOuO7Inn5PJKnPs2N5EuyKu5q8O
B6gLXwzkZVvOZ4yE3oMO8+y1CJqCFkAK7o4lHhURvPTCWA9ewoqokKgcIy30hTdL/alXdXoow3IK
SG1SM0QLe7I/66EO0f6b9qOH2AL3YAbwcEWDjZYKKK9DwGQRYe3cJe4htkP8dolf9YvU2XztvR43
Va7KT4H02xvltV6+jkcLI+zMAXIbiKHjWRINzo1cm1+8yqqQCmPSMk5QP/znyGvzB8JKnAbNUDie
dU037SEFGjDZapwN4KeSY4yJh74GDd1cM+1F7Rlm/bp3je3gIrrOp9a7ka0nLjstg03gZcR80FSy
rpyUs6FrBnrPqB7Wk6p7+dmjtY2ZsiiDx1xOGolINki6IIZtonhtIrhu2IYwCVnzdrBmOuIxTfhZ
IuOdSzvddUJ056YRbp2uzr5ivyEZO+oc/dWJI2TUfZPDV0S5+xAo7X92ZOEjxaIVsOJuQkLB/dpd
hNaY0Fi1ExCfvqLLFCGelqsgkfGXUnh9vqqXf5RGmLK02MNF4VfhU+qP5DApEe5FpAzqA787r8sR
L7+ZOECVcGOuA8EZMRuCk4u3o9nldUXKSOTRd8mtIHluXG3Wq9CH/oEFGrP0tkTjs0VPM58lhlme
Bkea53zC9NySUfTmz1G7y6K2PWRl1e8Cz86PVRowtUnmp3Iah25tWmb9GtiVvraryvhqguv6k+r7
n1Hnb0adYLgt+1dV8vVXNO0UTa959Po9oekfP/iXwpWpJt0cCNrun+NJyuG/JK7iD2V6JlZilB10
YpZIi39WyvwnLEeMO00ijxXYJHQ2bfjf/2V7f2i0rQ49TJNGG6Smf6VS/hOE+0OlrCXjCG0KDjwm
tqsPA0+k9s2coRE8KOonHAeLFwZ/1WBfIvyjLiWsD2QqFoA62w2tU3nsOXV9lG6Benuu6gFWLYhT
D+9+m6pNCECAZhTomE3tvaHp9q8Gx5nOMlyDgNS60USg4yp4IUbTELtDzTfD5yk5GTemsdUYb1ry
+3zM5GQHgaw1reKxJmjrNMVVeElwhNhqTEUPvmUQfyYJRt3WHs6YbVhk1R2xnGN+ADXN5ArShX6d
Ie/kaySzCCQKx3bAjJZesuHY5m+6MD9Eeo6+GqYZvA2zEV2M/Myzmgps99Au5Dn9cDQWpqYrhbYE
oy6niYBcJmNQ18SMpGc9csYrnJXtRT80xt704xl1ui85Pbf9uAWTm+zwYWJUUHwp65GXlnO8s0hS
M0oWrwSG06fKfnBrvmbT0BTQnRWKU45yfptDqUMaUgVby+Obl5E0UeF62XVr2A7+jzm7YVBSEGft
1lchwYMI7ESSn0juLSnlZ3+dDMCQLM9CD8dh54J9AKP8pB3c4Limaa5T6j+Z5Heed4V8boAd35lN
k2MMrH1IrxYZmjBYOzfZLwPUxzFNrF3c2S6TvoDyo599Hy5XghHBFsk6K/L5QimG27iQ3JjawFcn
2xjEt8Zw8q3MzFvdX2deynx0kBUWAnEtca4W66awbAbITfeCoSt4qNkHr5h84yvInK3RuO1a4ZVa
webM9nY+pidiZvxzr4zzGyVaeYF77CkaJI7+QiSbyemmXY7S5m6ilb51DJUdBuZvgmoOumoc3/pd
Ja46o9Ebf5TDMXCKfRLb7jaT6GpDvLAbfy4AKXm0TDGn+2rXOVnyzRuGNww9xg70C/VC2KbmLQ85
jOZxrI7NvLiIMEVtUSwMgH4tuUHRfFPwtGH5AkQgUK7QFHJw6jfPcxYp5HTa2IXwtVdqcvkrm1Ct
g47zmElc+CmF8fAstQ6OHO+qW5WWDK+k8k6ommFPGCFdehPxUYrJ6tLuqe5zHtuBOdZk7csp9Fdd
jkuEEtVP1rAG1ZaWHgj4oV2mNxHN1b2DpjgwH7DZjdEOQzxTUA5es3S6TYzzI3RvUbTT01ozdXI7
vEsod+8UdirFUKZKQvPRlDwLW6Hi6MyBoXZDaKIfPo1yxgvWmXFq73KP/vkKPfTE9fvo0nMn68nD
oCRwipigHGrfJuCYPANDPeNMy+PjUDC9oujDJ78aydyU+b4mDa2/66NIDndtEnUcKoKAkuUSonIf
vyRJW8852vck19SMqrHWYLw8wAz0S1jZOiCmL7CtqS9pSUTcH6PIeDyHYqL4wiSEDNqMRj4+smgd
bFJSzd1tldltEhxglMiXrsjBQOnEY8t/4Tvyun6Vdi1e7za3MYXmftJSwhDDzrlJFPhpQFZ0LaHs
yPInLPkcHzFoInHkxTLHPzH0/9mpf7NT2zaNgV/t1Pfs1F+b5uvX77fpf/zUXw1t8w+HlIAlF+Jd
XfRXM1v8YZv0j+lJE5cFQ/GfzWw61oSkCTZMS0hUQwsV/68tWv7BwAKJEzu+wo/0r23RUnPs+C6x
AhgjoDoHAoIwbVQgiJx+bGZrujVGOKj8SLXbmOWenhEbypYCHTFKmyH+Xi25SsN5axH9t7AcNmZD
HCARw/pQZTKCcuM32ZZuPXxhCtl7VJPJ1sHIsQkCIDTroba36I/G54xlrGItV/art4QSWks8YedB
MiXWTG4hpn3p8pIQQ5tcXYVqdeMsEYfmEnY4L7GHUy/gS3nw4lazNzY7FVbkFOcu21o8Fc+yrNzX
vG6yI30TMj8jZ9c1Wm9E24t1j0jqylwiGPMpSu+t0CaXEa0tyysvTvEc0tnYW70xn+DGLgpyy3E+
++6S8QiGg8ZXVgfBRVFP7QOQGfd8jGdx2w21tclTfQOdy7sQMVIINwuCT2nYLBqOpD/MGpJuEiEA
9WNR72vt54chYkRWE0tZlIVmGmrlO8cAPTwjRb3KF6xqnmxUMSbXBhpr6korWZmMircpJSGoqkrd
1TTpt0MlxZrFS9L1H5tj18wGdjgwkDIJjVPa5OU2sap5DfJ/JiNAFBfELnOkqVwDIM4wdPdmhL7T
IqTuPIASs5elme2sylb81ma+KZeOq45gAyeddU/ixfg2sdZsmYHifdFJAwiBA8xAZuvO6YpxY5QE
iMolSrRDU0nu9idctM3eLJECd0zW97bl+Y+9S0s/jn3nC+kNyXSBoSO+CNiB6SuXDCjGkUBTN0v7
TYTP6YBkuN5VDDA3k+Dg5oLgpPmGl5gYVO+zW+fDtwCnyQ4hzejiHyA0j/dG3shpaNLzKS4fQvYJ
zNrF9GrghQQPPCtxYRRJf+Ya6HSLTHCTIw89Qxng56F57m7CJdrVF4S82iZxr+lgPoTvCbCGLauD
i1jsZiwqat3c7q+srPbAQjMaWJVox6gascHoQ2cwc97VzRL95nWS7Nm5I4YWbfkufk+mncfa3oVL
XK2FcnexQxBiSxAvBydYWcEKB5iAPmB10FWGGapFXAHnRBrNoN6as2vDUAePbRJ4RF5d1I71SnyH
9s8rwo/Ds9JMnxxoMLeE3O99wzWNYxN10rf2aYsKXdO3HHLvbZYEYm8RusxXMyao66az3OzNy21k
zzJHYQfT/0GVo31dU5Mj1kZvdi/9Jt56dYcVNs2901BoSKieD311U4ZOeVuORoY0I5r64IAGIqkf
rBTwIl5oTpAMkhjAFPqUY2VujE2mYkug5XD43rO+nHc+wA+E4kXgixdomkOLN9wILqtJZ/oJ1QuA
pm1DTsBNPnqd/wWdCmObaPagp3mr0JSG3AqU0zy5ABFdLwNe7tXSTNZjD4VhJWhPftYYqI2Dm/cC
hH+RkpVRuF2XbPquJq9hkSfLiyHIvMdsKkGULAQq2DeTGRzpFAn0a0tOZt5q+QUHVJvsKWh6xCFT
hT2nNyJYWy3eLwjbKuGScxrUJG+Pwrwn/4CxDioz4ibp+kR71j6u+GegguU1xPVlQRSDn2TyU1xp
TjNAMqauCu32jHhlJaBj9sYq0KMOtiLMnauxd8YdwwX+VaQoK2vFd7x2SAy/TwfXOqsRUtSrBOqX
WINCHPaxtJ0L+ljVMYk83nvmaRuVpLKFJmLrfWdaqMs0TJgirJPr3ErP53d0TG2q4nwMFcTXstS7
YmhliFnQ1bxUPdKJTZeDQm9jxzoBXtpzRomXd5VUYjNwoi1md9vYCQ1NltYaJ3iwRCYDSdhFjpHn
lxoR+K3ba+eSWrB/gfJl0YW0vTNa/th+q9rcJIvypX0Xwczvgphs0cZUiGTYoxblpXQA3aGgid7F
NNaiqwlm09+NInYf1KK6kYv+RixKnHTR5BSLOic1JnHqc+G/0UJSTCIAaGknOLJ0+gcSfMVzos1o
02Se+9KbFQKgdtECxYsqSCOpvJCKfFoUS7RRsdVjMbBxmCyKIom0CME5pJ93uVELd6WEe4UKiU7t
fO1AYoQy6O0bGA0PMykPx8npEVvU+bxX8LhQ6phUDXNjANhdNE/omJE/1YsSiuDykhraVhsmZDSy
uf7duGinrEVFFVjoqWgJDhRSaKzkorZy+AC7skmQYJmIHFka0WXZ7xItmt/la8904cLUs/kVUxeD
10XVlTCoPDiL0otJbkmxiPqrXHRgcYT7AQFzepksKjHGbtUF+qT6WtGaOKcflaP/y+Nz7CHkU9ph
f5kUisxnK3UOKUI0mrHROWki4ROja3Hp+ybJKXHjcBJYRGzdomcrFmVbM4aI3KJF76YW5RtNj/rV
RQyHOyDZMAZob+p3qZxcVHMZXpCbZFHSmYumbmgCOq2AkBCAgYoORfDkLxo8M8calGKkIeZoQqH3
LtYTyPbGRb8HmKEEvh6JM/td3sfuXy3BJuWG+RXyP+j+D4bVQTkgGACNmiTf3lsUg827eLBSApom
lQi03MACOE+KBg1lkTgm7Gbee3e26X93dd9uAL6rV2vEYAAflEwdzXSA3a1OPPBSPYY+zXAmdgO2
vCBjSHLfQGCIbv6jV/k/6VXY8GmN/e96lR2jv+jLD024RcTPz/x1uhd/8K+YxoX7p2P8uyac/sPh
8Kg8j1apWCKj/qcJZ5t/CMGx2yNolxIDuvr/nPAt+Qf2coejuHAoDuje/StNuOX8/n0LznNsJW2i
GxUNPagH/OHfx0UGwyjgKAAjsqwOsROyVeT5pDh55xIQE5kvqs7PEwfi7caDArb57ru6/vM6/w9Y
03XB9LL57//iA35/dUXjbyls+H5cTc/zY2pbVQWz1wNN3A+d1W/1RL/FjKwUXXSUHf6NS1ETEaYs
0f84HwqZ2sZlakKV2kuTILHUgjwH26/cojOq/o1PxVfp2Uuj1GGv/PE7nU0sTJOU6BBHVjYkCdWm
bttk3Y66+03u3YKw/+72vX+BRPwKKWweCvWxPANP3iUgYNu9F/lMmifrhlaZ840dfxPkfrxGnLLk
4C0NGIFT8ddf6dKe/fniCySBpxirzYfP2SJI9+2ybfdGIR1cFGO4zU1gVL++ys/PiLJ4LtFn4dqB
RPbhKk3g2k1f+d2+xtZT82zmYAbVWOl+i30LVN2vL7eos378UMoyebfYgS0ekyXV4PsXQlU9ohmT
ajKYHPQCSf1V29Y3soWylZlmZzg1f5d8/vPXqCyLNijFtkk1/zEuzg8RthK80S2KbYWnl5R1RkHF
9tefa/maPn4uS1LNuySnwmdYvubvcmGRPJrEMiXd3o76iYGrcR4YjF9Ny1qPIlOrX1/t777F76/2
4aY5UgRVoNJu7/aDifQM2nhPR66M3+GJHpymJPn860taLKQ/fUJXu46yUfLxQH5YyqaQWdiAmmRv
ho68wnYCylUsoGCM5gc8H8mmq2gBT1SBhBR8gWnlnkplH+CtF/u+8/ptN1roaQddvo2jTdyDg3rD
8tvqbsZQTrefTLKkmn+zML0H5H64MzZ6RGES96rB33944twmcNAm8xpFA1XgSoIcwgwwqn5rGLbA
/G1W69Ithg1VGecrxN2fICuN153plpdE69nQhwLvyiQq4TfvgvqbR9OmhUNtZTNaomX840MTe6mT
zCpt92Mbbjkvqg2TzgUl77TbpgqahzGyia1AmId0BSHzaczBqRHK2DPmGIEd9yJfJbJhso63eGWb
pb/xczhOzCSns6Cz6kvLmY3jnODaQLmNm0qrcl21S0jeEGGW7l1/7dlYb2tIOztc/HRl7NolgW08
tUSmrQYj7dZoKBEZpOoslMlDN7jNJaI6YvPsOdnVdgdHyGivgHbOh4qhy2qSZOqNfkpIUTiJJwO+
xZ64DIPAxelbMtm3rQsm08NQc2idsL3iN+e7Xz+tP78gdCI4GPDWk4eiP6azj02gOjUsN70JL4k4
CteRK460gO+72S+3XZeZ//IryRXVQrTBYbisNz/eS68ee9ebk3Zf+/7RbOQ2ZfDk5fKc2oCGk+c8
//oT/rxuu+DSOcZ7SxItncofr9eQTkBYZ9fu4ylFfNIvkw4AelvXqqfNry/182NKr5NJpqDvKWzI
PD9eKkBlEw99wS7o9uoMbZN5LAYgjP/GVaTjckyxGYt+vGUZNL4MWAPbHZOGelVpzzggd3Kvf30Z
8+d1jE+DZ9NdeqL6p0jXJKJH55QeBN3RxDNtNmCVx4xuZ0M8AZ0VzZGCB19oG1Sh+1RD7i9Agf1u
WfrQ+eVogbPVhmXEVAZH17vM+bsNo6oKOUe9bij/U00z0Ut3/hC3Ozm0aFVtOcsjkn8PSGPx9d35
DUQeuJ0iZiCbZ/sEF8z/zR1YhuAflnj+Jk03nB63x5n1w7YSSMMw/NBu9nnQ5UdRg7kUdG9m3IKX
PvazdUh020tKuNw6rYzpiszEaU2v2dp4LohqnadfU0ZWl4kLp2gePuHBAfweteXdlMOwLdsIFlAQ
Dqd8Si+x9P3ucPH3H4C5O1NvDKXCXu79d1+qb9ZeNrkDXyp6GvS+5a4bZPAQsoqtkYfHG7+BcJtp
p2XHqrPTFM6vbqTvm9rxjh0hA4veqN+SqubdFLQD7l05f52Vn59sN/R2QxlMmwHAAntFm+5AFpS/
2RLM5bX9cbfiFnz3CT4sI0NLoy4opmY/MZ49Eeqan4gkypkHik0b1SzyjJuQtIkjwS/9uikxTf76
BbH/9inwECgg9bdQN3x43d2JtWRSXbNnBrmQV1NXfeZYda1lg1TTE1+KtB+ftGWGb029bmktk29m
LeGn6G77oNlZQJI3NaGMoFvMAWmW1ZFowgX3o0JZKOPA/DrlpslSqe8QIm2ViIuNY3hkqBG1avZK
nBvKTBfsyqvuxZ0zcaFAmt26HDxmGr/+wD8f3VyHalBiXcC+TrX040ND60jTSGdBqOL0Kff3GqXt
xpjxgRYzCYm/vtjfLNsOMy0qT6n5xYtb4/snFBy4k9csOvsyyL9BTUecZ9IzRBr5u+jq5Td9eJK4
EkYNT0oHLdqHlxmAaQfuU/Ek1cF9gk3gKU5nWhvZRDWhpgRDsHAM2uyOGf7mEfqb3dcREiGLjeiT
YfGHDwlanNisWCzpeNOL37qLWPKWOfU3Yio/U/I6v9mg3s+eP31WRRaaSU46bLkPt9DrjWaMIh5Z
yvD8trM59xAmtplysD92P38VfnZfRCkOkKnkcCPdaN03AdxlTiu/vr9/+zDBFmBnsbUkMP3H+xt1
iHfDnvd3cNEjikU4KxmZr4yoIJUzjL/9+nJ/szVDXLC5zcgOBEX+j5ejf5kECF64yeAk90GJp2Hu
3PA3NeLffr8mnQyepP/P3pksx21s3fpd7hw3Ej0wuJNC9WSxF0VqkkFKIvo+gQTw9PeDfE6EJfuX
w/N/4jj2kQpVaBK5917rW5zeVZj0012b9WYMrJ5cU2rkLgrGCZh+lYURMwPjpHubp3MEHkwWTYFD
DNgZ3YBiN43G1bIgL/j9b/5rUR54jGwtinLHD9xfn1eN7gNPGwh8e1Ril8RwyvpuuUDHiaO4NI2o
6Uswy75iZJAjvv790c2/e4LZDXGy2bcHdJZ/PhcqHqVlV0wTYRsk743fGYRcd7G67VNzDVDxas9D
Ns4HQPwJ0UaMXot6SmSYLDdl6yc5pvJZE/FhIwWxlBrMP+Btv/+ef/M1A4gbaNMEw2/k0T9/zcTA
P4HTpj0QgNvtB2cZd07fhrvVD/UPp+RvDhWyfsIaRmuGz+uXxx12c9+0nd8eFKkSHw563/ulStAh
G57ov/3rn8UelNQ0b22p/WVVawhaBnyOvgj4RXcP08Tb17Mvr7JOvf3+SH+ziHEk2iJsEX2aWr/c
8yhUYyjiHCm1SSCTqmoey7i1drzdlo2YSBB06mT+h+Xjb08l9bUDL8VE7PPLVYtjUakwcdvDjFE7
Kt1JQwYpwfcI1Oq//33IELkFflk12WkgO8BEhwvz1x13kDv1wHSGW8TpRLv3MHkzPE0cDdaplFUR
eR2B1B578iJq7VEbeyrHYdqha7LLe6R+PFwYDJbwJFFTPltQNZItRJ5g2DYFiiCmNG3yhhnauOR2
QDhhnKxjt554XGSz/CQ7WrVk+PpHV+PEsIU9X7nGSjObO3/ZESyItC9Gh/TkDdZiAtXGFLXPzBKv
GWyOxHoJNTHmKIRplsSbhgomuZqSjpC+Ls27hCzI2pxPRUV37ZCkZunsDNGYZ4JYJuPQg87vb9yy
GgII6MMs7xGDF9Wefzf0vgQNmEMrc1D7bysyteMLM4/V2ezadUaKNdy60SBi+dxVRn00O9IuoOV3
VgezPH0uAX+v+RJOnZ2wEccNSdF1ne9nMOqEuzdz1V2TLOBDhfdCfCSHvkdbvp1GEoG29UiQ3hUy
SinoO5QNHh/CbNhcpYSBvvngKGZ0CWqKlsCpu0eS2rB11KrP5jsNAuyxSh3yPmaD7O4HUZdBvBsY
BQ8nNrHTvg2mMN07WLebDequhXjyPgvRAPKK2hWQ0xT2ZYsJast8+BPgQjBzRYkLr3dAYoCTaABa
BsM9fd79MLrNZ9lYxQs+FPGgKk+DycqmozGTIWG34e1QrGq9HkKmXz1I8r9GJ4l3+QLCDcAyQi0Y
cPt4GM/2OJN5Al0hywkHxFeJiDOb7D100m8OOkNAXzMYQYe4dA8sxQ7Th3dA+Q1wj7B14jjD+Apg
1vTuq1ZjAJ1JYvPHt6X13OPIkGoz4p920+JZCA/VoNfeuWHZ7UxRpSRkEbKAWd+8QviQXGzN9aBa
SDdYMJ4n7DfMUs37NEW1ButEnmToMM3O8oFNRe9HBW+Jbd/7y31eTKdWwWwDDOnyj3xFiEaTdrpz
PkHhWkROLobCgJUlEiKhDy5E2xAhubJ3aDwfSiOZdqYOEoJJOxARK66bMay1BtiIBxkXzZcq6MV1
lfjgTRRqw0mo7sMzYGMZamy2AQ1r4Hi1CxM5ZJpVyekEqdI69bMPGnQazxZZ64j2zX3uzi+lGNqX
KpVHgiof02F+cYG57rQIadQN8qX01oC6GEzfaRx8XPFGK7eLazzlYYCNVdrpFlhYsBMZSv9Cr/GG
Gaq8hLrhIe2M8a6NO2DrAxwNbffXapY+9ISV9GEg62ph5Aa2SgkgLctjVQbjh9ODZZ9T5Bb5NodH
ByFsqFucpJTmluhiuauxNjzldUAWqcXN87m0hD1t/ZY6gpcpi0QWD/q14dzftJq7jDkviT25eRJD
PO8MMhb2nrkEV/yPejfxQOwkNtu5vw5mHev+dU6wiWK0w8Op8+3SW90r5NK9ILAJhrnFdz74hlV/
nYinb452jj5ki2MK8N5cmz7MNExk8Hf8gJwMMJGucaY9K/Aj1G167DrOFGKDqtgu5Mc8/eD2WkVm
PSGcydOTzhBeuGHa3pga9iIhcXrB3UMzLsF1+u4JyX4yDGFx+Isorhpesl/BzscejroYgpsm9et6
mnrv0Rlz+RHS3B9glnhIVho5iu0yB9Mn5kzlR9d04Gvmsje/VJPfbSnR3NuwsppXdA+a/Kp+Pih2
LE8BuJXXsedzZqOYdhDO2/MCljNKp4q4UcfuP9OFYwyS9djjIENyJyR22L6QQ9N+bXGH7vPJaF+w
QKbHrJOK3BMIkHvcnf1nt26xfvoQt7bIiaHcDkvPw4Gz2Y1y4QBW8nBfI0SwT0NL0oVPC3lHVRp2
+5y6qcQ9UfPnVRqPz63U8YJACYYncHMtU3IyHbJmS0aDwIeSYr0HDX0GzpQ8Yk9Exu13g4UuVjXG
M3IMfqLf5OTpxoRlHjMvH59Haxr0JZYyviU7PtjWolkuSBaCaydx+FQbAYmD0u1xVESQbNiJtGev
SZLbTPeAhhlM7micubdxx6O6q+py2S+kFO11TdbTgdjn+Jbc3dGPGhfkEQ9Ry0PF1aUJ357zMnRu
/SRp3rsx7u6dpTOf+pTznWY55KK5mg9BwknFOzoTQ2BhSibm691dK8yo8hactXkLuI8zmx5B2fCx
xjDdmZ3TnhszC6+XsW/eFa6wlxFE4G7x/fZrbcZkQC1IjTDrVqU8x3QjDkOo+m+h7t1bZ2kNDZMp
jG+n1EVbo72ynL+hxXfIemosbaOPB40i52uT1zLBJ2EGeSkJWkybVZJB3yRHlziMGjFOY87ubUrm
+qfGS+Ibzx3qLx7hYVu14jsIpV+kCfuQTST+QWsXq6DF3yrkNiY8+WqlWBxhGUyfMDeyLhJ+SoIA
f7sRRnw7hC14/SRw2YFXcAtuQeEUpy6X0LhVSBNnm+ZanpE28AfkGK6oIF2obbY0mDQXnnPaWFX/
GSbR/BH4Y//Njx03knIuTiYxGNzlQ9JgDc0s9zEtk/HZqdXgR7rmSxYIrR4C1TVvdpZ4jwaIZkzt
lU5uZ6+sTIgeVfdStMt0F3j98CyaKX9I18sNgjS4duFWP7TOyIFyY97TsUMnxyYjuXV6zho5KvMd
EbDzh1igwRqT41YESQTywSoz59QiSrr2bM0n1ksOg1lMn0LBRIYUJsc4Lx0t8Z1RkhjhA00lBHhI
kLvTb0GkBPOFeBXPqH0o++RMIuQxPPngJJRcm2ZAfnoqx5HQ7mTgTlrIuGLp9RzuNNas5LbIs9ok
cG2p7wwbwSUT02LNYeqDZDx5dh1UEUy3jxoFJBp1UWYoM3T7AXXPfHbiRm8xWpjfyQgfBqivU3vP
arF81FbWdBGAdSC/XeYO361gIEtZjnBEjabhtJB52vUHEgTxYHlseZ8WqzAeQiVYzXxv/D41QXuv
JPKZobWaGwWi4HVCL3NvqiC+lV4LNTeEL5X2gY1POwm73RzwfFdGrD63EFzFPYxPonUoKFfA2Izp
lR21f6EmlvtmkB2LGGgX+qZAQxkI28GXBWPDjcRKcRiLYjw6Xsml4bV5bXdOjuHYj9M7z4En3lRO
/6lrRknEQfKh4pr/1OPp3sqxsd/dMHb3TlMsUeNA3bNs4jtBd3uAGxoML0wktmjjeQ4ViToPZtnB
gSe5c1M5mXy2itiBdlU/qtC5IC1OmUWKlFqGBEA9hNlNS/9HDMkI1rjpVmWSdyt0ad4kpHAdPHth
vC5S4zJ5RnNbkab6CJOhXjnxhP2ptFxgHDFsbE1XnNxUncd5BtHAs3kRse6uIe1VZ1J/CXqwbLaA
IeM/WqhvIcrhU+5X00MOie3bWDjnNhUmS1rAP2yizyugZNGknKtpypzP7LfFZgZR8B7qdc5Uq31C
Z/nUEozJtCxhQzritf4cAEp4EFWi9/7UHD3UmNtQw9nZpG19DPTyRv+vfM1LJGO8czhJluHELPRU
OJEPJR1ERp73p9xApTpKgKZ56TT7fhgYfJkD0TOz1ndOkIuDnWX949CSjW3rMH4Yeg4yuNK/GwS0
UxrTIOp86byBTvSePdxTxzT1n/E6EGg+xngwBVs5LO1zvalTnVzSgMYNpOmTtBfzPRFS77FhigO4
rmUbpIO91SMPY98kaqMJt93FM8ATNhfO58xxD5U71XseJxbgOqM6jfFy4bYMww/ita3PU+OYN2EZ
LqgWSuepgREWAYVw9ig/3asS3egzImT/fkb6vcfhM7V7n30hYT8dRBJQgN8XRk0YUmOV3rQZtwHy
vTjFGVwBl2zwomzAVkNRbhDfMkAg15MclAEnUmSRJPKWges7x7o6Kgh6xHA6xnU9w2hchPVZpUa5
51Hck7KQsVFziXgmkOwG7rX8RFw12wzMzjlLYLZpApU+BKJbtnlpB1f9vEaYi2SXuNB5c7tzb8vG
BSSQ6BArWlUQoDfX48UD4V6xRwNh6TleBcxqym4LLLfkFWULocgdJmmQcgaKug0ztPESSpW9lJbj
HZDSVbxySOTbtEtDS2NIjekuxMN+PdPMpqrzCdHcQP0A0QlJ8cH1nXOHSu4oR4WVts8vBVf5qq+0
z6pfFwxHCVOqdK+u6fvOwEeyozkZ4UvIzJQ6562rKxKWwJFEbeONUeZXCVSyUZkv0+x0p9ry383F
+y5JzfnCjrX4UvRlzaIF1MovXGMPgjveKX8o72ePHUsxdwSpEju1kJ8kk4bt0AQYGlHl2bBr7WxH
X/Qk7eYmCltYN/WtoWMEsdVMMgHtG2w8FmGlCN+LgkWIcOTsS1lizbLaoLzH9YP6P0XCfMgSrb4V
vUUcLrT7b60USxNZBh/YogI4uyRVPs6OFeiXjh0P1y2lyCkTrMSbEVzpqWgC3ijh1LzytqR3thQm
lJOYhuQJiZ71xP6YyjQH+XCO86n/Rlq0+gb+hSZCPw/lR07kAhEEi5JfRJ+Z73nS8aavnXki92mS
XxAYUoQ7MsXP2Cyy/2a4BO6RYjcSVbHkLr58MgG5SMm05kDEaqz3TqjpaAwTIVWbxBrY4NRVUT8m
3kDeXxjX8otruvydsJkI8fOzMCebohLcRpVNEiTuJL7lLgOAG2wrVFo+RQzS7E2WOlV/lS6uom4U
1WgSRQiNOd6zeeWTFwO5/MnRtB+3EC5mg5DvdQtAkBw/iWIqvM4SQWSFh5duiArpcZUMQvNAG04D
oYDdCN0/HlJciBJp/4c1DBx1aG2SabVjh1/+OJkuMUzEgTGeTFG4CpRpvglGfkM9UR9AMMWR3XpQ
yukFceqJf6keXfRj1aFIM9o9KAtgQ1T5lB8bky7QrdW6ADWUu7hXc6fqR1ejqOASMm+NtGz5fbnv
0g/pSAHMrnpUDOOhhNOfEOGkxo/Roze6GSy3SS6eYSZP+TxakGGr6nNphv597ofAERoyLp900vTz
caINL2+dgR99tEbBd2RXzrdOK8nFAz9RGcz/COOOuCY8u/T+k3lLX4azOBqKP79UVv8tpXpJN3zZ
EDTu2H9PSfMmfHnoWgYY4Yo8EEBkpqjA4cd+l8u5HCv6f2edEmKBsFuxo3MxEmQn4XU0UTpmKwBg
29TteNQdCm5ewry/onIQpCBXwYCsylqmpbhNRltE7bqFLGCVKtTcVvLJzIRFHkMtzsykuyOEDPu+
BBdwjZYpfV6WRH/SoHz+aKv/r8fsHzxmmLQDOqP/swb1uh7SPn2r6B9//yFqPX37f//nP3/rvyrU
4P8Gpof6yyEuHAmIx1Dgvz4zh+AiP0AUwtSCQc06W/kv+xrAtUWWA25wNocM6mhB/8dnZvGBITpK
SGwAPgTT+H+jQl3lrH/u9JpMxB1rlaH6Ln1691ehEe1UPWD+7k5uJWkcZZlhPgiSsS8BvoF93WYB
mj+QsO+94csnnw0w2bOVJFshpc3TWWPkF755XePIOZDQQewp851yEwS58RQQEbD12YSloFRVGJlJ
Nt2alTF8zzrLxK8QF8+O1RInVzJ2i5NSXijMSTKqLJ944ZbhEcblTh8UqafHui29R3wM082fLtnd
H13tP0th18b5n3rdnAFmV5bjchpWut2vg7JsZq5fj01zmjqTLCJJEkA8D2HE/GX9XXzv3x/vl0b+
j+OFNKwdJhWIdH6d8+IBFaQH581JGx1iqLh4j6m/IsjB6T8c6Zc5xXokhmG0lpgA0lD4ixx2oJ3V
8x49scT2Wwv+G0mwrnEIbJk+jlbhrHkj8uFf/zycDj9EdWiMkQr8PF1igep1WUF2JrRmJtieDdCm
R2jt8rZ06U7/+6MRJsa0DQiAh1T156PFYaDTqsyoh4V280vV0UeZvM7UtJfDp98f61cFxno+Q5+n
FdsMSk5soz8fbMrjIilzkZ7aZCrsyE7YH2/bFgBzQLgQDeBkuh3wXl1rjBxH2H70a9Ie2//vv8df
byB0xwGDJ8F0xmdR+flrQDhErz3Y2akd2PRsp37u6bVK+RR6q7f69wf76z3kCqj4SK+QRjl0Un8+
WIf6yFadl4EDWpb7Ouh6ssl4goHa5Mlp7lM8L35FwMk/HPfvfqTvmTTCPC/00Qz8fNw8ztj1eLw4
K92OoBW5mtoeNOVrOmT/7lj4cvh8pDWCRRW7wK/zPIdkMnNMAGenuP22ZIsSvN2IDp0kdPBPvz+f
v6y3P47lmhankvGrwxDy59+VlcozOoN7aJkXMMEEEpXnIrVHc/v74/wyCv/jOLa3Dnp/3K7Wz8cZ
vALlUj2lJynQ6G0nnfGjnJm8UTna7mOSpqiCJ/ZiKdw/EmJ3RBIll99/h1/unfU7mOjFVvkM8tq/
KB7G2cRgS17LSSKpwJo0tjhEFyO+SHsugcoH7HE9e/6H9fzHKfzTgr4edg2N8DzMZ7xDf5UkjLEH
Pk766SkBkfe5y7zyzM5uvgEbkRw6uyG0VBn1hC9rnmI/kpoR2Ikg+ekbJLG2g18SludcVvIYC6M8
S2BbyK0y4/73Z+fvvqcreLczZMVvgk7q50uUuzYJv75hHAVygneSTpwuGtsi5BIVnvaOcLwafzNn
hg8Uk8inixitmRZqhYx0yGvnCvaTPE1pYN+Ehtf7e29M6gxUU+iPh99/17/etQED71WRjPJrzW38
+avSulA1bDLyKkJBry1ny0m2bN+r3e+P88tTz6ULUAetixsWgL9qoFKDeYHE14WKtF7uw3StIwin
d68K0pEef3+sX5fzHwfzfYRstA7A1ga//Kg56N2eBDuW87pjnhDIcUtwM1UTj8oeF2EcNZOer8xh
8l+NsgLsXeNi+acv8UMV8vPtiqpV4A0gF87m6/zyVim6xrB4Mhi04VqfT35hsZiqECTFCZ3Wcg/0
Rby7CS06dEw/apWEvnnKFBtYayncK0I75Dkkf+9OjSH8ZxJY6Yq2hQILaJGFc8H1Tjsb5dXDUtjy
Y5yG4jmYi+WyFB29rrDtvEcfi+TZYnJ/NXaCBbcvtfXgDrn36CWNOCrARNcJ9K5hK5rUeDJIsLwn
AZ6eZoGU6rbshHor5CzeiSSUl95oZuJncex90F1xm3NVtvQEq7GRx6U3nR48Dk3yDYS4dY9A9CHK
9NZy3hLAfF/xNdmfiElY45Llj+7WJJ2PYlSO3pZqspNdT6f7Ets82Y7L0gJMJH0fEhbvGnn3R1yD
Poyqkm0jrg4RxJFOw3jYQxx1DtoRbIYqn0ZB4A/Wrspa/zVoNdPI2sy433j6YyZTdcjh4WcawFF7
1k7RD/7r4kiXxOUwvvjr3+3dmq8xu5hG21T3euOnhfEU1vZ84T1TPLftrG9/nF7pabWzqkTcN3ab
5GckpAVMety39tli5HTJgagNu3ZJMiZ4P1arwZyv8NOyQgW0gb6Qw8YdWYsJmWpRmMuRnE/O3ewG
KZFKQiRPzpQ6n4eOnHVgc6K6Wxl6yEMdPkcTVHmB1EekLzTz944pbrWRXTfHh3AJC4az+FYes9i2
P+G8JiOeUK7yXCL6fy/i0tqbXe28Yaolc4+HhsaMpMV772rCGSLMANOdGNvpNp2dMdn6jpl+KTzF
0rSYK45VgPW01/uwXAnHwZBp0pwSOnbbZTLZwJhlveyrseBe8ku1XGLNbGAjKb3mjerH5b50DbEa
pNnnDAnZHFHGD+g3GNlhHfXcYDuBoewt0bE4gtDk7iWeZyL8Kpnq45BQMRBwbTx5CWGAGxE78yU2
iuycB8UuXIhvmDqHFByjaPcAQE1wx0u9a3tJUqBRd/cxzPWTgGdwxRTYiUCSM9q2eoJx7Go5D63w
jhgM5VOsfHQpQ/7WelV+mTkaIyHXvy0X/5CTLhq1TNzhyGX2a0A/eoM+9yDqWZFXRReXFI4lsqj5
IpMh3T6c8KIDKyxIL6Q39hym421KMPs5M8N9krT2Xg9JfYYihvDAGBraXzrcEPyWnYscIV6S55j5
MKkB7nIYa7nOK8Nr+4JR9babYJmOKB9oWwdMATAq74ke+ORJ0knmvrGuChojgk5W1KhKH3Amiihf
0IImhM1swwZRBVSGhz6Z32H+vTUQlXaZUaKq9Jxq7ZtZJ0MEL3SIGLCPdlNE8xTwVhsa60tpO2cs
tgzvrPQm8VYgj+M9jaO8qis/flENDMCE1tyZqSwLsLPukUprvvFS216T8ZjMpEV/NkZmvigIr3O/
nQPkKiW03ZAOSmvF/feWQPnjbAL0gs4zSmb2sZ2dzdqpsUQRfnQ9EPSEBrBwsPng3Vs+uYtj7ydd
yGGnRiu8UqbZ3rJRcpKt9lgvcl8UjGLm+NNgCf041yivQeU2TP6bcZkvuY8hG8qiv3dyFXwjC7I7
wU+aTkkbYijBWmZfulg8QIjSD76eZ/J9hmG3vn/czVQ3IzaUpi3veuUvkc+TVpygJbAVsBDzR93M
XgTpPO/CyusjBIQpS1FFlqojeSP4cegfm4zSZ+D+25Zs8/Z0Sp3DwFyvibrGKm97oZ6JfWi3pk4x
v7cLMIu4ANe1VR4MxLXhX14ZzHn2VZa7dwLl6N7zh/izymJ9ZROPpFKpz5keBKi2QIdfyFLq5cal
T4ZklnXyVIVdcrZb9u0bCyfQcRlLbsyMvQMlQmGQqtH5u3LuXqo6cBlKqPF1cKrgQzkTkBWvMq0n
q3T9z5NewuUgkC5hxNY0KuuB/Vg1tcdmWcIbJAMehOyeEKa6btC2tP6RCjo8hpNJn6wxh+57YwFx
anQ2n1tlX/zSEXTuOyDPTmheI64DDhdX8BT8IrwvZMtgQtrSpvjPEoc2BeN0IzXoPqgiPHNRw8fJ
BT7LS7igbWeMztdpEf29rwy6Bm3Vb4O6tbaBxy0AIYMEE3qrB+2Dq/YCNe404NRP+dzXd7EiJLmU
ZnaSWWtdOIPp1oas2Y7SPIyuy40dVheP9kEky9C6IwAEXwQKluswjgnJahb3UbqtycxC14eCRvq+
YJz4NqwUUBaaNhp7ndpRQNJousmlu4bQg4lgrGCSctFLCJxism8GQW6yAOO2QwJRe5umZxCym2Fj
kaSejcWhAKf1il6AJk7dxleT4QbA0SDcnQCCzd8V5fi1svVwz7h7CjZ2E459ZOQV73Ra44gM6tG9
oWJvDgzVfAoAsz4X5qx4ulRz0VlZ3DWeq26DfpqOdstgNUrD4FhOS3fSQWUQ7iJR4tCev2QDYDon
Hsv3vGp9b5cTovnZiV1kiV4GnM0tofg3flOfoJTTS8qK7tlHY1Hy0bsOM00RhS5j36gnLfNNNA5s
MfaYxiluBvay4J7AACQV/flsGa6QJ5AOVmc7rni6y0vrqzYIFEqxgOQbbDv9rorj+eKT5/oOSGE8
LxOmjyDkHQgIhJAbd5ZbJoHqzhRj/551OWv2H0EWMoRgwujH+RFyof6IvMC/FTgbWvZT8pGgko5U
2he06B1VUSYp4wM0UHWZ3Ma6SbU7fAJPPr47XRq8xkMIzLaqQgMQLV5ywGjuXBY+adNVWR0Nz5nP
lgVcYld64+dZmemNyMt2awQEL22ylj50ylw8YhcV35Dd7BMg2tLVsFq5glcmm2+lpqNTZeLi6LTY
FrnmnVGDmwLuNAxomVmckgH/cTsdTUkildmVzbBVjlWznM1L/EjWqDVHSDOHkxuCeohMukPcl0XI
6gMW6Yn8JbEPaZTvGl4KB1s06tws6fC1oTaiwkgKkldKzkIXpF+ktd7KdJTEJfEbiyQcq5uOnrDl
84xJ+82wGuPD8gZ9LYM5fnIrSIdmzcdOzhR+MquUsPbB7b7IxknZTooVX5l+YmMs0T57As9x++DZ
zwRDoX9aWF4xKnJTlc/E2YiNCAxMrBOxWX61EI0S7J2FMS+cjRkguyCnl83J1keWw+wbiVdAjc20
B/M3U/F31GAJQjzqZOIJVM2rMj4y8bEgDOrvWEnDA7W8E7WdFe5zMyDwtvTOVl+6kZmirSzdYR9A
dI6w4xlbyFO8oLOJvGGXufFivi0NH5zUQ3CwZrhDCG+Kg6PS6bH1rAR4TBBfsmr8MBoG2O1Cnpg3
jtaZtBqBnZSQw7Sbi2MoaA9Y0+pSbjpSQBMliA0yww01Pm8dNkJnZ6idXY+kAxWs6q+FmsCImNMh
98Ak2Wy4Iopqb6v0BAFUmEDOJ+/odm0SiXIMKE3I5sKFwAuilneT2QvCYbJmH6j+uyKodNcY9XIw
vbRGDx9+6WZGwB08vyvV0DtYYnFCPkUUh/GWes6+lgl8PXIKq7I/l0b7qsvldsjlWdXep6aTF5Zc
GkZFqkAULh9Amp5xTD6Qa3po2E0TkVC8hSLVIPJpUvoqfEeu0EdLB8c0NEz3U12kZCjU1vsUmmys
jJhFPrFOhdepLXRNmJgNomJfb4bY+1qOIW7Lkq72xgVGtYv1MHxe7OXrRM6jl6Ena/0i1dEczvFn
0fTxwng5yM8OCo/NPM8bsh7sg7nsxjZ9mSA+HUHDXrvtJxGMw1MboNBP+hRXVJwcfRTBEebZ4cWw
8OROelTHkRrmehg6MMVTtj7mkHNISvVfPDRFh7RsmRn2ie5OaevRHtXZWk74YTIdag2EFYhw7mwY
yC3XCvlAt0/K6QEkbfgNGgYQcaMpaOhs8rAPBDw25FxXKigRCG/aZJzuCqtbP89q8+xtpumsaVyY
Up1iIoTDva/zptvQ1XQyNMSEtOzh1DBlz9kPHX178I0bNSgg0j2KH2j7IU1TtLyUnHmYRmjx5GsQ
I1vspccDyFEZMbgyoBDBScUg1lrBtFg8SurTmuWFPtM605jrQb4OMQWCNFpqjBpRQ0YeNlKFkRK4
lfOFeDKq5NQnunpuPXGTGW467lQ4U3YMPsuS7jM7qsy1OsEkPH7PFkvfZt4Ms9nMlz2iOBIb0Yu9
xqVBkzsGuPtg9q5CqddRicTLKN7rWnvuRSXjWvKGqp6jxG16EmRGtg4FXohDY9rdib09Hw0zlVS8
mgJ9687g8rBwUF9pT33xCvT+abf6R5ykuXORAeckap7g6GfRwiv/ZOU9L9Lelmc7cWkK9BT5weDT
I1gnNT+ONzaOsZtrrztJz2Zmk4PahtxRvvz4I2FQWg/Co+yvGVoffNddjkCzm7e+JAUnmjqLLkFg
61u9sO0xKDaZ9SyV9xjmnEw86u5GJKrd/2gUN8XEGGWqYfFgGN8WZdrgqk9R8ZOjCWg/0fnZW1QF
/cjtP9ep4gcwPy43rCPLfU/j5Q5ZtvnCcJSrXuWC76yn7gRGCy3TtEomjUQcl3xYLlODRwERE7+L
Ia58alzKvnYkOixygQgf2KpR2w9DgaIVAazO0WDTFaF5yWIwoHCQgtiQ2hldBEiSiTf3v1iMa6BK
DTxhI2XUm9FRDJarsMP8AJMiVLRkWkloRwU6bK/IaHCui5YscdfUuKGzhQnZ4tK8kkt+/nHfGWm1
7EfUnGz/iSoh0Ga5T1SP3nacjPX7JY38MCq6a0RyOss9Lm7OSTEwZTP5V67VdFP7I6eNJmXkmGhO
rcqsDvXaiusJRLz4hHUQtaxRpJKCSpwdd4ByBJ8djusHFpn3GFuhQSLPGGDGqOnn+wRiTpUv0Hzz
V/IKMYlfrf9vrThbpgehLwJVMF9GPmg3L13oblttCNiMrpOhMgOThdrdfEgMttemT58VWjkFv2lY
8mPBzXI1ZtxN9sKHkvBSv9FKrCCaA9sjd3AyrwHQyvOI2vBNJmIC85Xw6BgJj7BjD8wmtZLknpr1
W+736hS2AJ82TOQLMRIcK80HigN+YYVTfUDXEOfsgKWuDmGVWtfULd1nFa6ntxRFfobnulxG0MMP
2FcwkawPrNXnybcSJPYbIQccehr68VwgSj9B1+SGxPfRvxFJCeydjpxq+XshPpIrFt/3we3HCLQs
pYdqviIoDSOYMMGhHzt5Foqro5TkYZ94AuUwh3QsqvCgIEzt4tqbLzYt8EtTjvK10yTWRYu3mFdF
bIGctPGQuMWqQVBUPu62WoFkeKBofjAWDbbuehfohtac26yGIGx6WAcCRU2ow4G7BC34e4y/7I1R
pEGOStLwTNcdVLma6nQ/QOl4DR3OVEw+wNNCQfDhy4YfHKr1HuwERmK4EPKcxhbSiMCel6Pho4f0
A5+yj+zx8XvgUSdHFBjTS1+n0xdoB0yhejbkHa3UJsYzjXh8YxGqcG32Y3WDHGh4SkFtfWtGnJ9p
PYVnrJHFvIk1byYn1e2euM85JhKWO2BE2/GaeS5S1r4jDWXrw5MYt0WT1vMf7ef/FTr8g9CB6beH
If5/Fjrcdt/juvqzyuE/f+U/Kof/z955LMmNZNv2V669OWjQYvAGNyIQMjNSkkxyAqOElg7A4f71
b4HF6iZZ/YpW8zarrmoyRURAOI6fs/faluW/IoyIWDikClywaxP7u8rBWrFZjGLC0HPpsfNd/1I5
uP4r7shoZebS/wb7wzjgu8rBtV5FTEVW4oDvBi58yH+kcrB/GfLjNGawj7wBuAJG1L+MokoxQToh
Qei+KCMHe6rDEB4ZY4qsNWI7AJXU7xEKt5VJ8w08JLawjZxzf1siGJI8SeA1dJugpLYWY16OziPh
QLge3nrhbJTm1icKgk4Q2ZtsHkx5z1bK/Ay/VJo0hUUDt2EgOw3FHKh9KuU2o8k/H9rIZXeW9cUZ
3Zz11UEG324i0YcfDbtEkuuH6Tko3X7TtimBJ2NA+i9w+QOPG71zogodapm3M+md/oS42B5gteqq
GxCKOS6qP9P4GC4+3Ep0jmxFouDKDcuYU+viZinJxglmb3ovqU1j1+yidTPjZ49DEJZEyrWLup9h
okQ7tPv4oRxiwsn2mPQYsmeoul1kZtmlB3Wfznm6Hbl5P+YUoq8FMvDi6rG72Ql2GHewCYCTq3zJ
8m3ls8KN7JHouERLNCMNGHP1FHjjCOcs6dRLotpmY5DIgdtnSdKnwHUAbImW+JwtTdX5lPtJdtFy
WV6Iy7C8g+8u5ikF9xpHfimarWkVtbUP4Mek9OOd7i0iTVzIaY8OFU1mfTZEY66y9pBZT53o8C4s
ZYDaDQ8hUEed2+wFFnLGdoUnxLDzK6zq40R1eM8nsU12vXO9kDCGUCU3JycW5gBC1Ciyr6SKudiO
8/IocnfaSyYUOzqr025qs+Ch1+6CfDIr052txhYUYk3AQUt71qx768HwIhk3M9u+xKXgZnPg+Z9l
F5Gqx01zhaqgV5MZ0VblJlUY3vd9Y3Q30PQLdWuSKBt0Z5LZZNjR72gEDTAOBO2/es6a7t4t+6w9
Ya6z6DY4OA2hlIP5RbZaC/eGwAKsl5uM1OaQ2bcFuG5HOyl3HqAocq60NQdPddfQrg2MJeqoXOag
33itIJYnw+rIo4Iohq2zLISe+fRg23PRJkN043cpT9Y+UEQTVAF8pSpUtXEze3kqtglqxqvAj3xD
QlYG4quRH0hD92lnCznFqmtqdVpSBR2f53WDbbjyzeyIg5CUHJwL9DFGmkpkca9ZzEdzqIN9k+b5
fb4oC74y9R8BEENSc2eDjIao0Kl83CE4neS2I2lxvtE0G9aoaNfZtmDbnV0317O1NRtjwDpo4B28
99EIMmKppzq4XXQtr5XwzMNQBtMuS52ULShk21WPSxlVGUF+NVo4GHuyymjkMAfyh11doW61c9Ee
GOz16dk1xSP0vYIZ52R8MmB5cE+hiF22IYGV3nVsCejYjz0eFCyQILQX4nDJXlJTxlM6tNuDS44h
dZ8JMmMTGc04HlmJ1JPbMzk42Z4/9tu8qmyfJmFmy1NQJA5ckG74Kg33tTf5uA1yT+inubTB40qc
tO1pSHCYhp1BZKBgvqGTwn6gy8z9mLgRAXRFymqGtReylOqLg16c8Fywzyx3IZOg5WaxZHsJHNFo
4tSG8hCGiVhhRyv1lXPV7lOyJ3Y2rfYH5oPmvHcm+juQCuxL6zfkRYWFQaJs3jEUQgaGC0i7+c50
YAZuxhK9+McB7+WHwhyN1yRLzu8EqfdDzGzK5V5zl3kHUBumueUb4wkqOLMNB25p7GcQHS58g8se
jn1AtWFfSy9/44e6pqchDM+uya2i0jEBllcuwYOol7a28Any8vwhXTG63UxQ3uC0cTKS9jNuWo80
7tu26aaQqKWkeraYMrzBlvfW5RLG6CkQDFHCmPYRPFrw4CPh3aVjonajjcshiKi44wY9fFwZXsLe
eZHLI7F/7pVt3kRi/RDU1q0k/+5Wj9ovDmHfOi/9uLwgvJ+jzQiv2tpZeVKF23k2R7GZ5mKZbusO
m4ZWliDis0V2z+ZzSR+A7yTM9Qq3UlodaycYAw/gipGkybkn8i+80rS09t+KhP/WU7+pp1AS/a1u
9H+rDx8/1D+rRr/9yJ+iUReNJ5I2vP7M1WH2Uc58L6fC8BUbEggiUKpgXbAe/6uccjzQpejTqLKg
KTOVQI/zvZxyzFe27ToR0hhskf9UNPpXNQhJv+u7oJjCQ/ur6K6wOtsVFBhHNlVuwcCAXcEUueL5
hxLzPwgz/yoGQboEnBURLMoTFGg/i040tjM1a0KyhXYtjL212jmTGd7Vckaz/vev9Ut96HJgvqGV
volAfabdP78W56IQ0ewk69QwumPJXs0hlnN2NdvRzq8xEPz9C5Iowa/8WfdBdhCUL54OK+jPpAD/
kfezlIJBTkA8PRrcBLJ534437TBhqGgNyPDbMJLRG9i2jr3HoDyT4svmXR38VtK/7L0U++48U1hN
C17mjiS0Y9QubBVVNOC0WPLhpge4fID2Ex0k3r5D7StUEcmy2las+qEqq+hQGcP42hrxvkTzQPJ6
UufXRGHmYbX1mt1akR5Ub9YnHtcq7kdRP/Cs1F8i2hlvstJl1NKlt+ak8lgGVbOduoqGDB2jW7SE
frjNCmd6sAUuDDqh7Z12ZPHaZgaO8TKpmDrTEwfTMGPlbuTRbMm07XVvA6+kQhtQTxDEvhAIMzri
Elhjex26kDzmqnQ+mFVqHNFJ9Ts9GPLY4xZIN/T5E38bri5sEdb1DVlJy0PUaqYUZi8Z1g6huzdX
53ZeGlg9dyAhVk938IfDO2IDgd+beqnYBwQ+NJgTuM631DYmeHqnbj5OQ9C9K+gpvsXTYT9GqRlh
0TBF9LkIRUdqVDTgkGRi3dLCKfJlP+BSJfY9dDKMJwCzmM641R04eOo0H6DXDbKf6aKmRqLJ0RUb
jhzPtV1x7RWamR+xDThhHZorS85UcCnUIzNlPxaWObyrg3betxj99+FM3hGTZL/+PNR1dsia7JMa
im6Xwte4oJNlFGtpL6tjwcHJeF7d9lXNs8qxjQenyfUN40BCFsRilScf+r5BOkaR4B5pjSeXLL9T
4prucZaNiB2VlzfY3qfPqfDHj6VFQRbrlBhfwn/z6MwhEDti4z/14EGkBf69WTs1ZNp/xpEvNwyc
L4kxLpuyTF9Hgt5aT9PhYGDCwOFSL1ux4DVtwfxso4Qw6KAbLwVeZtTSI+WWb4bFBzZ5Cd8cvHcS
iraMRkq8BH7/mMjKvuGBf08/RFro0HFdRYgdiKa251undO24sPB91gQweYMx3pZ2oz+Oa4uLM+t9
xG9b3mF0t3elHsdH5ItoiMbwse+jPMbr+sL4ybnaOgP3orS4GoEmtDDy5ROTOFxJVjTvVe0+NLJ+
GzhJax/zMmQMv4EOlKlPjZ/D+knmaQJrNpVLge0r7NhxaFFgyk7rkmxde51LqgqX8k0oK7WcGJKl
DN2ytDdNZpdGqt9QIJM4StzEJGTKgWhh/KtZFM/udyQ5VGAQsM+BAiAaIRlO6SYTGoALr8yJRUe2
sjZ5muYgZ+0HLwuGx3AfqNL2TgyXqeuRMqlwLwqR9+QkolvdpyV19uNcenwn/vYZX3Y/0NJua8I+
7lOIEKQBdMglskuUGDPSUpFI753dZasI3GwSIhzlgNnzTTFJw9v3S+QFn9lrcaKyMRuNc0kM2DQ8
lfiK6v5gRaJ8h3qsfIpmXKcDQI71xQJMnSbd04CgCPKyHTtRGzkhpPKWmc4ThAiJi3aFxXij45yl
ndB4Aut6tGuD1jlig1yxu4kswmbalTrTr38dJD7BYQgOPuEnTsINbVXCjUsHkxkZWRm4l0btSsJL
Tx3GrHO+SIhJ9aSZu6+Y543BRP7Suy4RmsEcMODwQd1VQ07qSReNjDJN9BuGymrOQBK9Xwb+X08A
wRP+KsJaPGwR+EhnWT8sjtt9cWFt3fBGVmuU7baXThEXu5t8JOjxoGR7Cs0ququ83P9Q1T3vz6lm
aw+jsn5YMbZoNMOa92aQY8smxBixeoVD9cZhYnePGdvHPKrr9imtMzxpgjLCYvEAN859W/0hRf5v
FfibKtDxUbL+UBXsPowfvvuErh/qL//3/7z9Isb/eZMPaf5LmuT3n/xeDQbBK8bCyOCBgTLGxkj0
72rQfgXSjlLRRyhPmbh20P5MkzRh3JuWSScWvnyIAvvf1WDwCl22T7Hos0leG3D/pLnmh79WMsRe
UYi6HjQxHBLON6HzD2zNFONq1RRpdhJ1MF3w8nvsl+xOXJB5u6CZ0A6TVMQjjLBHwCL4m818yXeV
ackjZkyDfNpkCvYD8I4n+hoGCU1V9CYnS+iQRQY5UPkUtZd2QfIx+TU896XMvBNyjgB8WTElRFcY
rmQ9C73K27il5+/miF2pRzT7sU/cM0lUbKhQO0KsgXmEFEBEGP28AcSxX4CKkm8sgVlyhbyq13qc
9ZaPpPb5vLI1yel+SGVrMVZeF6ClERK9gFHNW20k/aOHx5WRqbZINTdRXnet8ZAnXcEjcCnkcXB6
NnBSNZtFOOZbPQzzpXBM9Uyzy9mrQWT3hMsQXB7p9ZNXmFlju/bzXU6IHhIsj1TaTKr6Kc08b4/L
n0aK4MuB2VuXyMpft+ij1zCX+TZ0FXVANW6NnijDFFcTEYW5Oz6VXRHcJ63lPCQo3vCq+qTuQEeb
+MRVaOgdaT1M+YPZje0OtYEPrW/HeybDQ4zu1m1JvLCNICB+x3k74V06wum6CVzoQ9aU3aWhJi7D
XoWeu2DO7K3rSZe5e6rdm5H0vgSwFxvikFkfDKjxiPh0fO0KVWDcZg8bG7MNXr5QTr0ZRONxPrzp
hi7HcSzMdzkWyN3EZ4nLZHyTNEy1ERi9VqVyt5Eym/eEkSpSorsAfmWYEZej4tTCPlsVafrI6Nsh
9ydoq9uwqPsrYmVi6aOqzoJNV7f+XToJH8qTkRDOGMzvkiGxH1SP/scjGe1G6e7LaNPjwfWs/Xh1
qt5rWYjzEpEEUvjIZRDnkh5eJpvK8gFTNUbyYDnjCx0wcAxjUJ4yn/L+IkdKvocFa3D/gdaEeG/K
fvqK1sp68PGmX4q0d57gWxU7w2umGzqPvb8d55pDJnGX3yI7fC9pYFyNzjZiW5pf3KZ+H0jZim3t
Nf2JqSJabIh0d1TCltjVgwoZmmfTszYmAEBzUsV+n8Ds1vU01UfTJb+eRCd8y6StSPk+o6ts7iyF
rpheVC8oz4oBtzxnOfYCor/yRszmA94KilQzM286IGLOdrHAo82dfS89650W0TtzmOgGOvCJA7Pu
jpGfd4wqg6wfDrPgijFT23/L8P45Tbovpj3x9C5IHYoH3GRHr5rnkFx6F6N0hCEORop9JAPZeuQ3
0M8lOYIwu/wCKE+eFqJiBBczvaLtlApp34pI6PQQJsuQbqehe1fnRjc9DqMi4N5EdG5MCT1taM5D
X5KpOTvzjm71wiAsOijXyU4lmWD9g61tUjkB99cRcDZVXErHLEq8XF1TbRaz9W4FPgV02m12wrVo
xX03Utbi5dhZnR++dYcayNeoL40ZGMd0FNkBsTF7PN+m6kwUsWOmkntIHOD5SVd9WTyHkqTo5SXM
kZA2I8OERFlkeAvA9KhTvAfaq2UMw2be+JLSIZxLd1v0dX8uSod+2zQREeiuUkyrTm8l2DyOQKH1
c1+Z3skbw+GWbYLxRqa7bKouk0kXuq4ElIZ8xXQxUAW20F2wRr+QmOXvWmbcCLgTHXt8F4pgUuoQ
QfTYoVH8AeFG8WjuPJB3wan055CVaugfnGhwnnGSEXLl0w3NPCtD8NJpRc4ZSI5tVJXlO11EEzu1
QF5w9hUbFoj3aJbx0SOPWMCfgHCigUk9oudrpVP1FeTPzFeDYJ95KRChIO+mw5KITy6Alh3ecIS/
GfpRtGnmdErQPtH0SoabvJre82AheGqEs9LoXnKXJq2hN2Mnpb/mG4+f7IanTRy4gbhBOBDt59R6
SvHXHx2jNi85XfXt0ITFoQpoOmR6OCL6NTcY10KCetfBOHrQoz005slUgbVNImxxvnSXGLeiefFH
ibOhHSikO9O+mYC2Xxi15/FiV4+JD8QsEGlwoM0vQgT5+VeS6aYWRAiiwLpj7ZUWOfMRorxTH1lY
KEhm73dIOO8Hq93iYkJeh3ZZ3WZdml9zk6S9suoQzuoy2gHCtM6g4BLE4v1lqes+NjW+B68dFsQy
nYwLGFPoOB12EJObnQZNcF801qfUGz73WCbiqZQf69qdYtNSFnB8HjfWkJ2wAabHSVbOrk7CK1rN
x1E0ztWpEeWFoP8epJuj3DIE4fHF42QK40FmxT07NKjC7MS4G6trGnwza5ZwUZYcfDmaNOHvPc3M
xcViAS1lnggwdhf12i3RR1HjS/exJ9HVP+tiVBP6LjNtY5snJ0KgHMfMZgSwwnzNlWu8q9+EGgxs
EnX6qc7NyHiRYg2FzXEF6R3tb3tr/pEbu5RWxegmQPatjviVn7wAz+NOz5pSRhDAdp0hCHFZ0RPa
YKRFO2kidvwC2G1B8TLp/s5ubSPbwTnRb51uWt7WWDXOwVhYlwmF8KFXBnF5cx0sJFypcj4jspEs
/RWCkGXOxqNCbhJbNSsm1mn/gyqQZlOWF2d0ipNDxzqoH0M95efaxFUNJj8OgkjulR2mn3t7Alo5
Su9eqLDfy7C39s4wQk3Bqq02Ze9wgDA/LPvMTNM3rko6mBQYAIeuFBQdiPKP+aDpe5vamzaS3YDc
8HTTEkxG51yGbqqzeETihYrYxhwdriphc+8Jnm1MJTLE5CKA467LKjsrYRERqkMxTydiHqZLlZXG
yeh7n8IvwVdAJ8UlNsODh7dtR93nAAdRt7WkJAy7DIw5G+HefCc8Ent3oHGKhzAb+sciQvy3iXwE
uu2K7RR5QnslxH+BN2GZN325zMg0UZmTnkQe6FswNxFcdzQpdRHWHvC4Rb1oJ3f3xJ8enJE4aFRA
jPbo30t0kSVCYtE68zHFEToDZhZp7EDluLrKZ8xCBQTxsiY29kQmt/k2STJUrB3sB7KbnbDckz3U
MNEsR3ObD+P4wuKtY4eDdGkj6yNpi9h1Ag+lKGcUU0JVmmpBR1KyKx4nzNnD5NnbkYBvaCR+Vt9B
xwwtRssZpgQvu+082e0jWY83EknXyc9CrDAN7Z0HHDlTiRupQfS5BjRGnDSMNqJHJoFn6/OShNn7
iJr7ta384JK4hBMi0J2DG2FSmu2S1EqjW7xkzhYd8MtYg5Jj3sqAJPVcMvh0iowLktNAy2PYiqLw
3zmdO8utCLvhmDsB60BlR7f0J9UXm5nCduxz6wPraX7OpWHFqnf9l3kuEe0zKA+SvcGWNdyRvIdS
D7nKXjWM1JmNO7HnY00Cl1fGDKhhFS3YotjYzxcdzPKqRCofsWMNYD3lsi08uilIObMPqpdMb+22
dfdW3o5I2q1uiHsb1k6NDRZt6tjHhp/5e3ggwWe7sZebTuT6GkLveeqkFaBhCdriazta4pmpTfWS
YuFauyZFdG6xup3zoDLPZgeRKOB6vZh96j8g45K0/xCf29rkBSBgbqzA7WJF6Dq1P0RRz0smhJYj
fqCyqpu99DvvUFRGcwK5BZcpquQzqEJnb5hDjM6VZPl0yDZFUc/XAqPkhUVi3nEDcrMEs03Bwsrn
lENOfmxPkmxd+LFyMVFty1n19EcE9/rgFpcup0aparOngBqrT6T0IOZDLSnjvCeqah5b+dlHrxpu
uypabmfbBqoqB7f97xToD9rHb/b/BFlZjGD+/6qa6xf5P+cvg/iiflLW/PFjf27+nVeRaTPMcV3W
dKYhbL6/j4IC75XH34SB/S/1zJ97f+sVepTV2+pFEKoRMf577x++IqIpME2+Yq4R1v4/2fuTnvHr
FMNc4fIh5Q5Bibg+fjHR2v3QQBryGD4QropQdnDAC6cYai9gbL3LYqJSfko9pJatmWfTac6b8SHr
jLk+lAUPwi37YfRm33S+Aa1cXGL0Cu1uQWuXJm7+gLHEPARl42zSqEfmuhjympZW5rBVQee52GwY
6Vd/wF0Car6qn4ks80iKxz8shui5XbWxRHiibW79FTnoWTweCKXTt5Nc8YhhEdKY8FuHonA0X6LS
KnySJ3P7sWnQp4pVpwcoGRhzxw9KivyYTshyrSF/7SzDsh4TzY6sFkb0lcECDciuXZvcbN2GUzoX
aPHwN4F7nK0x1hJ9rnYRTX87UKWGwzUE2UfOf741DLG2L60ZwWM56PAQWmR6bot6OumycLfopPlB
4VHEIJ3swBiTGlpHb+dC9+m2qULzJVj9k9+0oXSN9BGilz6OUiCiMyZe3SKma9MUkCNFDtdE5i2q
5pWZStckJ2hzA7BfH2kgE2yM/9l4N02O90RObF1vfBo4N0MoIvPATq96A94LXgzsaOtlwIKJ22gx
+W3srJe7sKuMr8CIou3i9MmZnNHss1GJ5doBmTh8e39ifVdc2RBBCBleRa4jJ6OpIcgEftDIPdvI
5oCped62IdHDOeVVLEIcRI1eZdTBiLQzDS3m9JtpLEt5Qzx0lh2TClX2EbDemuDsBWWO6hSf2KZI
tLGSMsuzdtvTPLhkAIzFPO0hxNovHX5Ff291Cm07lwrjzLHmWgg7dLuTEDtePQdQKSDZoBLwnsC1
Vm8Gw6mesm5QL32XQQlGYPVcIHHdZ45NkAV7M+fceFN6SXo3e1uojqhc+Cu47DjZId4lf1OOqM/n
Na6l4MkRY1MSzcEDPrLhCbNuKSOeZEvR6XfYUYC6ugz0UHU4XyUYz24LXbJuN5ajSV1I7SIv9xHi
iOxaVi2/K5qqbu+3vi3pyDgzZ3gzD8i64zEtxSP+MgTbGsCh05ZYcUczua0ZdC7bOZXhwRojaz9U
mfMGv0Z5qENkuxvCW8kbW+A7hofSMsXT2Lov3lhNN7VnvkW2rIqtwofA02vSBk6Gsrqt00SPWwHm
Y5+H+HUJP+m2bD/hP4K1tjf5FA53WlftvWBa9yCwu+/xR9ZIv13rPKVNtLHsHplc4LtHTT4P9b6r
z5nbw5crsSGQvus5rxcLA49HBwi/4IB7QC4MAVxRcmPYGH+2ARKnfTPOS0zkG3tIeu6AvaUwDn3n
iNvJiYq7JXTKS2NQRo9easdzNhPtagbCnGgbVjTpQyNC4R2tii65mMHLrI38NrGI82LUVvDQQEOj
OPW6A9je+A4uiMJq0SCpwvFRpvEzH3QfcdMbxbA0R7IN+6c+MolclqDeYnibDvDEstGvF48NjC76
7IqBdjhrSow3hu+pg90HMMAcrMmU71SfRkxrCm0ifT93h8eI8dzUeBa3MuR82HzS3M2+ry4y6doH
dPXibcTnd05ugnPtRA9sFWzpdDhPmB+3hvInvSklBjb2DqjvmZuCXNVZAL41aOAKDBiZnv0gNREk
VsyTEB0Wl5koabWdB9qjZmHD93f8DslUNC8HdhyMUVX9oV0LpCFXNtS+PrjSfQQWDg8NdbUNHzqS
C0YLgqLGbqtDPdzjjSnP33To32AQtj+zKgkfxfK3laUvRzDWS12e0bBDN7I0DpBvd1FHUsnTN+/5
IOuQ9CCTZXW225lVQ/GEGRAbHZaU5Zl2ju1yO4A6sDy06e2Yga3F0co7qeZS3yLfRA1OSFTUXHls
q6sYylYhrdff5fYDxIzLtxrgv+OS35RLFlmqf1ctIZoR5S+amfUn/pQg29Er+F00/lbejeuvqpQ/
CiVEya+AbRFnYfPU+zbu+HNIElAouahLkBiHnuNBN/lXoeTxpXWlBc7hBC5KF/cfFUqrmuPfao/1
7Vg2bgjLp0RymfavApQfZiT01lWNj8X9kmHaLb4yek8ccyelbfTjbhyxSb4pIKeOe6GcqiZ4QXne
J5ISu+bGaoGh2/vOYD/FXh4hP2aYKGHfuQkrnq2vBxP1KfNrt/O1v2FXnM7Glt5mjxvAqSalnV3O
Y8y+o2TsAmYgZmfI19kInTiu0DIQlu2qKLdXureJZdgRKdwemjKFF6Hhl4sRJgAaCtHlW7xdSWP8
BlT2C4oFTTg2YxuKF/9Dqf0XUlkrfKsd8cp86YScaa3XaZBBbmXkj5IEznHESy4WvtavPRxF9cxD
JOKt2QyW+TyNJdPl9Q/X1n8QH30DW/14wiLaJ1DxXC/0GJ+Bofr5hAWFvdStGNLPFg3U8hbLaLrW
DlMv8kNmAC7AhxbkYPo3ZdaFE83ypUPeWrBQlx/aRSiw5sGE8PqM9kHAoiU1Rk87XS2cingcdYaA
ZvATg06hLnv/qjWP1CyG9Y0wCEwFvJHoN6Kjn4VbLhr79Rokidb0rAjlPSPBHy9CIJFLbpRV88WU
LPRPXpMb7SNPtlbf//3R+5k+tb4Qm5U1X9Mj/PQ/oHUYScMUXpLPTDNty4m7KlkRL7bJHb44QeHe
SdF6TrZRvlcZ4xZKaDA/IkxofheD9fNs8ts7wRLLINQLoShF/npIfrjvCDdTZrQU/udZhIN/9Sib
Rx6ctUHT4ox8RXv+Pz3IHtgtlhIkemaw5hH9/IqGlRqMmwLnUzX1Aw+LXrHbKTczxY+Sv3mt9SL8
4SLlOLNwuQRer5FxK77w59eyoS2XXe7ZnxcrZdL3BbMS2vpT0k1cd4ya1kNc8Uiffhch95crCX0N
1DT+AQzHovuLNg/1LZurohSfFnpZIW3poArnx8Q2co7u319Lvwjl1lMYgcekAIdOyaza/OWAFm1r
lRIw8WdRuV4dHPMoaV5X9sgahZUgTdLubol0YtY3bY6BwYy9OSv1mwILEiU3uJZkQWJfUPA+0Lli
t7z9xkS4KclOCBVtbNeth+Pfv+m/nJg1vBP/Csy8dY/963JvAcSzF9tsPjUkJ/EuBiMqi6+zpQzv
pW1rtps7snrb8XdBnb9kGnOwvIizYvshyd2ujS/n5ysiWemSGECMj+wnLFtvId6RfrcNwi4bsN+j
pRYYvX23DD4oMpcWBHfDMETYBAwMas9gfSRUgSxc9PgxbciC2DuNbxO+RDigCHe/OUq/SAfQkIKG
o4HAbRJBvkI3+/Pb9VLZIawf2o+YERj6bAp2eJqdwDJwUWmF7Gk+RKIT/tUAWsndJBocm0iyiKRi
sYxQhatPXIB18dUXND3Wx59b0reeLfKVvv6xAKOVZ3XxFlzaL6TjwvBeG/ElVypFs+DsNMPo8xhu
CA7hjDDRW5doQ2QZL2irpQof4PuOyzuieyghNtCgE44FcwCHRd7Uud8Xe9vtPe7vPpP5qhh1C8Kn
5GTl1oZGs9D33P6R99LkDZfmoDGHyo3VAUdBkt6why5FC58unvyl0m/06ATz8zz0/vwoCv5GYs0o
WEE2WYZJANg/KGpeunaynLq7cDqDGx35XsuHac2iyNK9osfbeBshC5vv9NGJ8y25H4gadjkxfePD
KIOah5nqIViwQ6NlSAxOAUtmhn4iI74dueb6agbZiP7ViaD5vcMf6c3HxMWkfltBb1EHyCJLc8lI
fZ3O0zLhDtkuIRBy5ixzDnsqnHGd0/NPxvWZ2YeJzd1G7MLI+KV16cyUx+8fwCvGjI+KLh5Vxs4k
9pcD6uEeVBexpOsiVtV4muoYOJPPf/KgUyRFiI5B9Z+/o+96A69STrJJtuWSQ/y+cTLtcQwmbC+8
9NJlLI4KM4R/Tf84qi79A47c6gjiG6SkV3tu6KmTZWNl0fqKjhFQtakOz3S26Qhz4eOx0K+XSxuN
PLWcEjo7GCQAMPVjM3ot08rCQRVMJxq2DvfU3EQM+dinDxXnzFnY9X2luWclwX5MxzJ0zgYEL/Wp
r1H3d9gB5oLX91gYreQprExoJzuN97KSOLebGX8YVrO1diusxeFryqda5EMUUecvt72TzE0at8aw
nvfAnlkF4kE7SKfj1k7W63dwepc/IdrrnRmv+OzyW0iwcLkVpgJJEVqEdMRtvBnYM/OWFJ+ev5RT
sb4XN8qQoW99omrUJ8ZOJVeKo3126TOCbt4eECRILuQJzFCyr8INuf7zyeUPBIurgLdVuNhfSJCb
a47gxI6dw6nDYL3moD8F7rEYF5fjk5r+eomupfX83IUN/+6tsOIGDoqRtYHSUVNlQCnhPleDYv+4
0VlJIVb0zMG4pV200STP0hHlTHiCurGh32c583OAIJOjkLVBBzh8XkDE17cET1j8QiyBA+8PGe60
XtVOzlhnRxCQtrzjElbeMuwK85lUvjyadyikgnVlyqqswHhtMulnitk5GMNV6qIjyjSkgnTGQXzv
KbVw+YcCkb8bRzVio4ZCQbY+qDJvZryRoXDs8RUmhZPftVaW07qkVl/PMO0MZVp7urxiNk65MMkR
AOXZI7NiSw7uX15KhIC8RzA3nJueUNPW+9AwluPDNElBf/YpQrXoNtdWtBEzY9/METzFLMQsN/Ho
pAUkmrSb2ijaTNTtTNcS2x9prznF5KXATUqWWf+TliivsnWxVXzmqFhKTQtgoN+XpTcrHMYKruOC
DJ2LJy/WJSUYpeq7fUnvlj+ZYKa4hkgL68v00mJr5GsMbaYBC4vnsFSKnlSzcFeTQuAwJzYNa+qv
Qvo2S27R9BNnqbFASmZxq2rJ74rQPnGQJg4+Vy7E/WSc9yYDf76TLQzdns04JOu6VJr4+B6isVgr
wsydUpanDl4Jx2/MDFaHmaPIvWDZo+CCmjH/qPbE2e9p4gGY4UoPK6F549liTLy0a1UL75/lksfR
rLqAp3ydeKTjxKFbrQ/ZcZx6LscFL1Br8FAeFOsDqiXDvVsYXHYEkqjac49dPzZ8pLAd2mGjsQPx
+ia6TvWpDkm7uv2+D2HVXw+ObHunjQ4l4njGqGlWkGZ1WsUfQ4cA2gFpixk+iV3c3v1T0qPYueQt
D38Vk1sS8I6DQhIRt8daGHBj07ujnD4SLrIewe+XdZ0TOsAi4+JMs/8fe2e2XLeOpel36XtmcATJ
ju6O6D1rsCbLsuQbhmzZnCdwAvn0/UFyVlpbTimyryvqoo7zHG+SIAgs/Osf1kuqdOEsai0GXKPg
Y9OyMLJnjB1fhpIAlbmIcQrzDXqp/doNcMIDk0osv7mwMbKjtx3msjdW/mLN4ptRTYX8bJaquA1t
mxgu1I9tSmJW1Yw5GOY4ND9QhbXGmcRmw/0UcacI9qombb/BUhe4FvhVXTy5BBnLG3hdpXyccB/E
CgF7JEB1o+jh0Dp0UDXiX4UednyIHDtEmhPCuQscaiLyDfDTLK1zp2Bb3UZBjxCw5R3R48ZWsF2g
qGCO6MKdUDnNzNW4SKwKV6g1aX6uGmnM/UNoW4P7WeAd4BJ+3boknEE3I3O4ptPH8xNThztYf9In
7GTF2seqYYF/lxaLifDYXiARQ1COhpXoc+An02p2xFDEqD8o0JbbOIOzzMYnev+0g60crByQbGs9
Q8ysMVGDaxRuDKJAMhyKsEdax14RH3zb6Tfkak3LWURr09xbk5XYu6iBQdWvkBUvNBMjxzOuGmQ2
7hc6x2gk92aDbLPdhjAZ1K3qldN/Mrq+Mm6wpuuWu75iVq88KYT8QnM2hlZV9NCAmn2gvHhRK3P0
G/wCSTPI91HaZ2q31G4AYo3hk4MtkS+XDq2zRXe+ekrsph7VJhf4sCAv8RxgxwETAX9FQpDXk3gT
Va2nrURMrxD7qDRycYEg3cjz/SgaytrkZwIGD25NxyAf7Hpjeb1m7Qmnd4z4guY1zdWr39W3icek
sG6muKxhp07k6bEtNaUDF+8LGedN426woJIRwU6miV37gW65RzUWwdtrdlLNutZEJAo9fi8dZIhs
KyELCR93G+jyUbKB8zkkrtArHPi4rjBTY46saIfGkHwW/WDNFJzRvTEoSYk+olv0CYlGxi7TV0DQ
2In5Pr+5G7xaV39EbuiTg59ZC3eL22aJhGdoy1Tco/ituBWrMXw8IlDDgjU0Q+uxTHpdR2WvWSWN
vXdtiI33k0ntZsCfnBrWsgwLURa9yJiiiT28RN66HS1y4pxD6NoFJVFlc+I3TpDAmjwodUkA3uR5
cAxZEGn9s0dPSMYoTaY57BmgpvL1zomvquJOZaz9urDbW/wayamrjUTXNQJwfoyA94hvCStVyf13
YabXydzFMLBY2xmOOPWmiprOko+hDHW9GkYjq43dD1J8n6a2Is/DxpLrPK6hpBAy0jS6lqoaX5cs
SdjrMYK5K3rrF0aVM7yoqbDGASdTqwI3QF0SKcY2NKXH8LOGYzq1rZ/hHtGVepf6vYO5Vs045jUG
qz3RrDjRVPReIoOBbGLSLev9nJYcOooBi7yJZSbTdzB0Bmach3+OBCF5pIsMjbNQkZLgwy/WaCvg
SedWNQfFioJIT8XUpA648UoVefeFtMCeXl4jG6Zl3XH8G/pbDIwUT+zgHcA7wrLEt5DaxPk4JZql
akbhw5gj88wPSSPicjpxKUfH2wW2OU+FnFyDT1IOY5qcNCbMWouNEmEXWVw2OmnN2IXjQNwRzWa1
TidT+j3ULJsqJbYjXc2PdYNM/WA2cTcGV0uf2HV6LiKIn/IwLxCn6UY40uRRR0hI423RufoToTWm
AS+sd/kPotHVhZqFCvY+bVE1EVmH+SsqsNb2C+rs+GV3TcYRY1+UYqhpxBrjU6pA4Uhdb/ZCz8eo
yHQXwmQEsl+Qwyv+wP+u/2uqErlcTUXgs10SQwEYuk4SX5eGaB5iXcw7jb7bl8+DthzvpSAhhpcq
Oxa+8txRzhh/G4MpRmlHEzknU6dsmQvkXc7UBNnOla6eu0Vl4+FYTlYMKTouoPAMp/xA6VDUQkvj
3Q50v7lWtUgewWxGpHRZZ+nSOhxrjnwx3WD5OMohhRHd5QMurFj7Ta5z7k4WEaErckmZZ6Vp60Ng
1nic2ExL6RfSuZDdrjh48p772VvmM2eyOT/RYJ7VuFe20+aPY2IpBoUoK135dLE5Umt0WDbxtKkK
cwqD3ydirJ1CCgNF+jSnrwqOMn+KObMQg2cYhvpBplS7XJnGiDmUk+AYR0s4kXFnHALROMOtwHF6
MNYY7DP+SHL0oRsSoK7CpLL0IR+6py7kY7rm422EQyVvTQusKdcV1HTsrOToIcXxQ69G9kQRwhpA
NDVn3pPWJzmx0+cHppMgHYgfkrg88rMNa7I4NL6n0D/h9szUP1iBhQRrzgPqqJdPD9dhXVoVRhlW
5Qred9G1m34cOz0xqknjR0bkzHpK+mYwVZemq1TVMiCLPnF7odEzkJCH9CfOaTluPgnUbVp/PWXx
PkoqNVwLAmG7k2BQVnEIoAh0ko3NcKkPHNWPLJ2CNDN+JnSJ/w33WVvpShSGEqv4eno5NSIlz/lK
8S3D1EEHhw1i3YFc2VgYx6M+Bb4cLLCa0jddL2rCrYivbEbe0wcLJ153DDImOockBJDrKakqXmkK
f59bHyrFTrhVyRD1/Zb0Njf/5DeAI/yHy8yMmm24Cu2q5zUaCfqLjujDlYAht9AZSJwqf3RqpU/o
GEnqlSNUnS50SxIAeJb3UaNjSBfMCIVziAkq5BZSa44wIzwj8ECBNfVdRb0+Z46JUSTexnBRLeAU
Mkie94NLHsOd+pIcT10N59nanf41TIURRRWYPVpHT0y6e/MyNZBOaGT3/ad7eykt7bbh9dAw0sLn
15eyE0wSRtCJ76kb6fUJerszUhSyWLN2vX+tZzTwT/wYmjIwtQN51HWQTR7DlJ2J7GVCTftdOeXA
QWZIdLbd2uvdhM8wkaXFXriImkVjqLBaB0QZizYo1k2POcIFKITubIQcefXa87Iy/+59YIGpjwiV
7+EKdY40c+JP79/+m6FygIUpbC34ohZqdP3v/8D2FcYe9G5977FPLcV9sEHpYyGbK0eo9y/1Zs45
AMPohwSdIGJtjvFuyijSzSigHsMkcIb5EM1Bhmho8fUnIiIYEx9NueMWCpJwyxe27XFN4leO1e+y
7ZwgBr9/bMhY5dd7xcd2NaSs7DcYuOk9Kwqp9ykmZv78s7B9U16y2hFD+v6zHw8zXVMPmxLdVeVz
exNYhFhHjVMYO9/AJDg6zkkCShUgj2YFfP9Kx6NsexAiacTCZ/PpIB2D1zmFYeBYmfUNiYaff+qb
Qm9QacZJ7YCuSFeN71/wNXuNpolHGyxAgA+1Tq8qRzOoz4KFxWSW38h51HiydCK9zLEozrzXSLaF
Qpqa4kATriF9JuyM79/Ac7bMn18gpZZjh6aDeC7wefTjlcWNk8Jq/Opbm5iY8mzpZS1QedsqCXFY
eS5bRpno0li4rl6/f4PihtdryKsUPZq0k+llcEo0+4wR0P/MV1yj1eO0sBRBxZbQ5eQPYzfp9ChV
V6QJ9qzW/gTtAWgDzcFYI/00+fBXDqsTtUiP+/f8w0KwO0EcyoHotnjCpXZ/ktJahkBf5zhhsw2h
OmaxMKTtc4pBLay3c2Sn1DY4zustvmkkpisoHZ4B+o7SnlUzz21dNJEv9lzx2RCOIDRlZcZKYsLy
ZfyDOJMgk/aoRg2yVDmw7PvD/2bC+S4qckGmEyb3b6f2wMkiMcxlfqix1KdmjZteH4FIKdUVwG/I
+v1L6vX71QtnqQ2fezQBXABfMw7+XLRolKHI6ILpIYxx/3C2A0Gw+ScPlmduXJgdBsgRorxw4BCl
rEgXhUZR6rt5/zaOn9xxsBVh5dS2F3xzx7lOlWiriXeZPOQQ68pTQhD78oudT7Y8t7v+g0ie4xUE
Dw/Pd0CKBCF4CEWPJrmwzDhNmq77NrZNttx5ma+nRZY1urJ6/7nso0+aXw9ggsH6h43KodQ8qg5i
iFlFUY32F5IpzWATAV/28S4GRuWkm+Jfz7dAw7vk//kANsxL5TnhHaWwR6BKA6wLBMORR/fvm8kp
qEOtBV/FWzONOaEkyNDmH+TsJBrWUoaGAYJe1HyEYyA0TIx4nf96NCyHhzNyj70ojg3dKbLGUq/X
HAhy1Z4YButogSktiRQfBC8djTdjAMfXMflOCYB72zH1vLgPSzGoL0OZ6Z05qmlVIFGfak7O74+3
Fh//OZ/1O2XxQl6sswpZR4/m81Q3YKqWG90Gbv18rcEDOs1H+FlsTSz1LEEvvfcCkg6jUCncOvGt
f/mTHEm9h/s6mQyu5/oaz+Qs2LDS2WUXgSgYeTYYy3nHpwrXE3OofNrPUGH5dnKikDg0Lixq4+53
449ukW4iEfBh8+0sgYmcdzfWCGuc1eJh73uPJJBy2H+BJkYLBLRHdJnoN5lZVC049hHDxHvvZaqB
5d8tNL5I5m5Gz4N9L0JOwA/OVjkBgbw/pMHr1+f7hFf5eOtAWPLYCz3zaAq3PMEYIDT4UYyOf5/J
yrN3Nu3Rg8iDxgXjT3AFc1V4NgdpEW0aN6oOpZ0Xd2Oc4rOhU0RpmmJaFeLggJEyhrxfIs6v3VWh
OpImkmDEliLMrktabT8wBO6alZAGZtr0csTl6EX1WYLn2Sd2pGThtJ6M+caAFPd1oY88nkZIbr0V
ogHT3YAa5nfGQgoDtiw4Oay7UF657Er5zi0MBz9aOW76Zm639MSLu4Qe/ikMVroEWdMD59X5RAuv
t4pvsCa8s1nFUImHpTWtDbxH/9Zmf35sEtKFNa8zAcKIu25vZ1V1O0GIvksdB3+6wDQIvTXA7R7y
IeyeCqORn8lQ7yiLouGALVa2o00w4/lNv0itMW9IjdXglri8VvW2n8IRwCbJsq8D8Veg5hE5Gj3e
W7dLhlMH5aeByy9uR2tTmNduT84RFn7dN8tf3C/J4A3rRInyDHdaCMLpnL5QAn+o/xn/rP9CRnq9
WDMhaCuzmHmUCi58/mOSfQ384+P4Uz3xvtRVaEdVvhVFjQutkKb48sH0e/VBv1wMp0wIWXh5hlzy
9QYVESzCmTysnvCZLuEIKfMWKwybvJ0yxwEYz7a1grh6TYsQm4n3r/1m5j8/JlwdWjYs4sfnkcHr
QrKgZPnUVhUHV6do0KyVjgXx7f0LPf/Sv7bh56d0bRviAaalbMjHh0hll7k9wpV5wrOOb8axdZBx
zYEnxROo8G8q/G5v0i4y8P0pPBIgnLFJi/2YYi6gih7aF2Q9cSmFDE8ro/W/sN921ElD0d+VJcWL
3Vclrre95V6bY1b9IrExOK+AZ69He7a/hhnn1JWFbTk5yHl86ZQh89jwSwF6k9OLs6YQYE2G81NW
kxqRtYPEbNwzH03VO+uF9/dBLXREwmNIdBlAGcS4OOzRxyWBZfidcvEgenIHPfhJ6iR7p86Kg1rU
Y2WFxYNjhGoz2DFNj1YagmyIGZOo99+Mp1e3V2/G12RNzQdBVMI2frShWHlU0j5I/Kd4oHEAnCbz
lQqQBeMmWiz9ZnRxdUDooIYV6u6Sbk9dHjAeDj+NjRgJSvZj43KxYvfgLLguYPIQfkPoW3lrmRuf
UoRZ57Mz7yundG7BQIvL2uClrQSNsXm99Iq2S1Z30dpvQv+GspHAaNSsv2aRpReO36R7fMi9A6rp
5rKE+96T4dgN3+ciGb6Ynp1fY9/NBiGUNe0cu4eF7sg0vp2KELVg0po8ANaG4WrsY1oAPjkcNELY
Ez+7nhGcp8nsfrVAtaMVTQdPfTDt9dgdj60LuoCjLqdZ/zjtl5Bp2mumHz21qetdGK2T3aESmzG2
aSvzwpq0v8X7r9N6TXxlViGd1qxb+EgOFLzj0FTLtAtZsnX+zJqM6CcDWTUan9k4A6jMdjQielZ6
L5ZPjUNiWhqr/jxNQ/PaGENn9/69PMcUvn58Sk2WT6KVfZi4x2RA6OBeF8RV9TNWNBg4t5PTXssl
GRFrINhvTTsH4SjrqCAxC6xwg/2Ad8A9kmCCYgrDNQ1PvCllLfz7FE25hn6B0CujI8BNpN2hdRzC
xoYkRkHtx0iOyHaeVt1s2US6NGaJM4IV1GusebxmbzAsuyzvjU/YxEFOB8owzgWpWlezmtjOMo8E
5nhi90bviuNWSZuXitIpsfUo2qKCUoL1xXak6XnnjRxNqUW6z72tKkwJCkeupA9dhplIu2gtQP2u
nDCtaLnCqMMDRNFX6kVRxGhe/ebThAQdM4W0EfBqcRi1TiCnTHJvitj+2ss6vceirP/lpnYK1DNm
WB69/3berj/MlBDSHNQ1Ajzf4HqOTSc0V1OOozj4wAr7u+w7LI+ZriGvjDOV/7R0Q4Q7mfF9HjNk
orMYm4+cAP82YQNNQWbrI3EFbOD1/gdTqiu7xS9+EudFnMTzCxELTqX4CYh+Zy5jeIvqbdjhRhxt
mzBSD0kgMVHFMti6/WBM/vLBBq7Gllk64FoeM3ax6pjGWuXZz9g3xedWWN2NXWAz4QPsnrEvDhcD
iQOnDWYgJ0T2WJ/6Cof8lV/06ir1kwBCcjWN56kxOL9gzrfeKmjT/PMHd/n6DKC/cXwMHZwMbTjT
HCqPhmwso7kMW3f4Cerdxl+oLDxcSWx3Xg2dOV4g3cjpKXWLCEhK9upfyWL6OFWTsTntHb/u7ryw
iM9NUkK+2NIltnJgF9jJTBYMd5z5a7el3fsy3/5bZ3E7N5hLPT6VabVJEbqlP/pX+lJAX6bZv5el
fkp/AGk9vrZ7f/lL//QnRVCB9pCXDYB2FGpv/gN5A/J7balpelD7/+VIFfzDChCzwuEFbEZtwV3g
YNAn//t/YPcuQg82M/i69vtE5fp//ter8rg7+vOfie7WawwAPrJjOTDLn3EAionjMpJ4CNW3RWed
VTQJWT5HYg/VQXpjSkvGrESJAftc1udZbiGESGl3nKhmRsq3gqnkPfopmWnWZjYzZ8SQBLO0GZGB
W6CpjjUIuYKAjDgeWwcs4/8Y6b9U+q+/d+4cE0U26JAvHtCVVej14hPQ0ykiucgzJzbVjZXQW/am
LDyHfWBeQNpnZ3r/giQiv6oJ9CUpt9CkA0QgnmHMXl/SSAtaaUMdnwkRnpP4YaCXHWmI7DNaVK2J
4sRoD5Y0m4dwQruG1Y47Qs0LxTBGOwo1jKMJW+bUtow+o1KJaFj2di/UVVClvrOFF6muoApat/g4
9wvO1VV9lnW6h4gxGs4ufOsSUq1sS4y81MDJMZ6wxjkzxKhuiCyEaYtz5WNfNTA1MvQvZJkgLo4x
GAIv3ExeZNkIc2mPrAVvpF2XfTcMeOEZMzGcqX0rLYdJAJbjPUoHI8HZNUK5XeD/XcgA8ePajzFE
3xISO8VbS9+5mcDX2rRJbN9alpGSd+kjJVx1MmsfOCcrzA4nbkPZaaC2tFeaB3uccnZZApCSS5WU
3BFST+cEaZ4W6LResqSr1rCtWxtTi+7MrqmaLsgkwIZS+LNo7m1ke8lpLzvmX0xuz9qg+TXeLLKy
bxGa2uprg9WU8Y2akpF7MZfGRV4hOWywOl2PMucvwYvl0gWsKYIpByIjt3Y2VuVacaLG0UJTg68I
4+sEZ51K22xPz0zNvPIeiWWN7oZZhHfjQFAd+y8OJ5s2FdeJGPhps2sZJNJIeQuCNn53n0y4Yh+w
yC1LqGq5gyNtqsNKUqJUp43y+nb5PC9oZdcjPQbrLCZqNjld9Cvx9eAgpMx5f41Tn4XQhy0sJ3vD
Xy+4IH5KSGG9NgITR6BM8fE6MeLzTYutBMo7csEKtLQWdymFP/mbeqQRClM03hRey9nMntR8K3q7
v8BVX/nrMovcDvhnqB9jgL5PM+y9OwO+xMU0NsUVKqP40abKP5AC6wZrej3+oyZSfKUohbZkLUzZ
ZOLsPRJwoF1tJ0Yc4QzhfjZkPrWF7xuiz2y7/tpOiYXbeKPPtBklCmR01qWQl2YP0LjrvNjAcasc
WsdaVrMbJKizMmYkQYOl4t2lEBumX3M2D80D/wiTkBRqdZOWpnWbUa5hfhIzRzr6w6AOGIvc0pvl
9RS50SJcjybeLT6dBX07v24eGBk+LiJ5+Cjzpp6iXWcS83lPvK26CVjiJaYVPgOc2g1u8Xlh1mce
9qYNXm8dgPiY1fkui2x1RcJGe8CKaVbnTkWzcOXXA1chkCtbVhZfW7hVCqX4GlCB8zqeAPUZYQe2
vM2XxTDuDOg/7XlvS0NS4IbcSTE7LL846s/hl9Q1y/wmGmFyq9KQ7ZqYeudkIbNoRAdQMpY4qjCW
ypw4m4ZhzEBQUEsE30Ghdi6rSnLatDDd1s8TGd4dL642Qr5jARiL2lu6/IqaHNbQyq3t23QAo10H
VpCIezj+g32ZRZCXaDtYef3DdyaLgNoA45dAJ1cB5cYZB88oltk3aUl6/Xjhx/2TA1Ew/ypZISyQ
kWjx5GVdVpUIVmBZET0WjIrl1sZXABtgptMpEcy88x5Wz0VG8p/6GsDLzH96fmUjwaOLHUfb0sSO
47Jk/1lwNRmyWJxEFaZkuJ3UGDueJLSJpPYyWIB109j8BiGzI1srDi4gNYX33jhE63qxPsPLU9Ma
d5Dhy1zPxjbvOyKaAW3XzoBjI0aL0caJImr6MgUDsxxr9jaJX3oHA5btdF67GdFKX2P4sd3ObTxR
kajQzAT7gtGeNHhh3XVeY6+d0oTFOZJUhCQJryF4hWkyqeBg5Xb8vegi/6eKnQitnqwu+0KcD5Ns
521OAvm1qP34m+eM1bZkk9rUVefcwG2qvlluUu7syow5jS8Y+Ji9L6/CGNcIv4FPRNQwAvO0iYsv
NmqfVWh2PZFgGAsbo1J4UcRI0MupuYQwVp577oifFS7V1yzrzbcsHBKoaMXVBKaW7em3ursWLYQm
pFXgPHX6GXlY8WUq3S7Gm7KqzuFxWqRgtgtRgGG+g/AG4NPiiAzm4LPsjU59y6bT3Fde2SSbbOmq
XZCa9ddEoAS32HowWRTeUEGaHzBDEApTi3QsN3Hkd79SpIybYnDdg71k8Q4fY/vCizvf3QBNVzC8
Z8qBTSft8aztynofFHheE6rh1Cd+ouxd7FnXWVQ3exMax0byjPcZlOCJXWoUJxXEw3E7Y9B50fZu
9DkETd8bsJd3Hml7ayMzlmA3zwKhDQfOMxbs+WBW1XyCfU94shBuRjS0lOvedod1iyfeAam5uB3T
cXkyzSI7C3FvOpOVxCDg/Qrl9eFC1yeaBWGCVji4s78pifALdXGo6N1TSRDHSNNGh5kxbVnnKmA8
umWCv7U2So4hkKQzPtL3b+BNNaljiPg/i9UwBDY5Ot20dUkwRUEIlupxO6LnQPbm5LALuoakWWHC
zoCO8pGCTJdd/8Iq9GMD+3poFwWlNh0BXbb9QW5Ank+rafLC07ZgGU/dlJWpgXURfAC5vsaWX65D
90ZQrzO65nELfMQ6e+hC7I3cXJc4kAjYNCrVPHgqYsV6fyj/djEf0jLDaenT9dFQWiwimESL8JQu
G4ZfdeKekBVZrA245tv3L/W2kg5MjHFDDgPmX/qsLTqmxlCmOHXIaryoIDnuvSkkBTiACd75hBL+
x9eDPWlbTBOTAIFjjB5Yh3WjKD0CgZPo7mUPrBItdoGaSznUpTPD+/41384RGCkej6m53PabRlFd
ua2JfaQ4xZhP65YMB09M2pf/H1dBLhIKTvmwSI5eWhHZqAfSTpwSAAutEzPjvR98KGX927NwoAzg
uxBTgQ/M6/kuesduPTjdpyHd8Y3AbAvPMTwk33+Wv8wKECbHxBWNZeVNJyWHeZoSHOed2pgt7smr
5J1oEYTazlFvXfSNGpcPjnRvlw/WdD5mHguSFZd9/WCoddD9FsI9NepI3FtE8eLmAecTb44aTiUx
rTbE7uXDFsfbbw1Sg/aM5mlxPjiekACPKVYDnn2aa15eBMHjrMeoc7NkhP+8P6p/eUQmhy84xOGn
L47XKr+YJJcq7dNnV/O5tOqzpeubh8JlwjybHCk9a96/6N+eT7A5ABR6hJoc96lGkwjJBOT0tBAt
DPXSdU4KM0j2HHQ+/NCemUevV2M4Oj6SdiBKaDrHLdkahC8w+ZxPF9nhfphZpYc00TeLmwYVyAVd
kgRa7kyZrCbqOprCc3cxtqOKdq7RuRwuUGAR6tg9WUnnUHUuVZFcBbkg9+D9YXk7w2m7Ohpyd2zI
HccQf5V6E6B0xAwvoVit0yhtHnTmZrfCIZiploWU9e9f8kh0rPcQwFe+KnbHEL3/ccsmLsBL0Icx
xWFEyi0+OpwfeqX6p0Ba7Fikmur5nqXWRQte+TCOHtFFThqqm7az22Lf0uvRee5Tuu9nC5nc+zf4
tzFhpWSuwHU0zePOlkkiwUIqpXdaLgFFt+ll3xBvOqddQfLFamrNj2CcN3OT9or+GoBymKLIz15/
8y0Z7hT983JKwKX72JGVgQdQWzFNVcNp/P2n+9vFwI2gzoHgsh0cXSygF2jGbTifKoKhrrIqD8/N
LuCU45kNp6T3L/ZmmdaNo2dVO51hlrOjsqTMDatBBDOfisjjYEkTlJnFh8gp8f0L2a8bR0wqiK2Q
WNgReDjISvpO/iiACrTNCs+1iQ1ckueB8o8DrxF0ff4lIiW8O2vwtJZbNyYoIcESWXEi8R2ciaEd
nKi6VTeouMAJDMhxzrqj1few+FIeTGicDwiuHGdnFhr9mFoChPcTbc2rvoLx/1FH4e37gaQcegCm
oaY2HjNkUmQdDUrr7tReZsR61QC/aErSfWzO/3HRg+EGcwA7GxtIzzle8/vYtHu03fIUWoBzEtgo
dbRTM6FqxDCfuRWGMh+UIHr3+mNhdNnWsBnk0/cxPMDZ5ugtVQvd+VZ67qlolftTCHs8lW4U3j0D
IihUQXXapSBKXSn7g5XOPp4isIGgOQmBipq+NZWQ83qKuAWacvjs2alFf4x4DDMLRN7tZ9o1Dsx1
bE+/CyvP3c1Yd1Z3AWmWL9Ahj+Fg9zMtVtvO5hsTklS5WXKN17SSbsTKHST/vPjMI1mKLtsP/P6V
388GVvL1lHoEX6ExAbgMnPray9DCST29YJ1QPWD4YDWnI7H1eOWKjgzrSQGNdVEO7gfbhY0+bcfY
3wT4TsH8M41cbsgSL68n0IYLKXpjr9xUXNWzZSz7Gh3LChS7QgHq47l9DixtVtjtekOIalXi34xa
CnOuolkm5NstxMxqSU+nILXW7lh4KJ0GK2lxWR7a1MNZHL7DVD86S1bRBixIGcAIrbEK62nCcgtQ
3Mj4XkLVaDB0jvPkaqQfGW99ItTrE1EDUe7hh0TJgbYOh5KqXfi3S+v/Lj7HPAJ5CQtd17QN31pS
Fd78C7Q8ndY5eekc3InkDPMTgtnVTaPI4Ltyyrqoz7H9HfvrzkGCjf+gz9ddW2WT32Adxn4hh95q
d7AZ1U1Oi/c8FqLOb/zG6p4UIugFhDfzlp84rQ3uJ9nipYzrW8FrVmbKX+TRvUdv4nY/N1bohtvc
ztzzkdFE49dgZL5L8x66icAiptyAg4Bc4dIDEB6Us0A87ET8In6DkfV9mZzqBN+EwfisalgJ6zbX
4u7QrFwgnKRAI3tJ383rb6zUSDr8jHOAV46LZCJbs491Hw6T7sk4SrxsN0OPX9PSVM1EdCZLuLfE
zKCKdHixsn1E7efuGFnTCTLjImJftcb0AsdYMC0MC7plr1Cr2xhgh6CM8WAqCWHHk8UeqwYmWJUE
wr4wUsne8FwHgNkz+5YYQvEBOwlwM0w6nPkM2RYqV9C2Wv0K+yXCsmJUVy8QnFcM3IwDc+HWzWzv
McVrMdp2Qzfh8P/8WWG/qM3y+GbgZWXBozaPk4Dzs3VrKfTrB9BesHm7d1nGpfCYRW0gOBglhce4
2p3GzJ1MUylShAQ7lYLDv7RmIJY+Rp6jC4nYpbYLat99LK1MI7ESeH71nH6mLBME/nn788UAyJiA
XfnnHq6iONqROJLt0IWa3VmJYmbZl41Bp6GYXQbWRYPm7LLQjtPrrmq5EQu/f7lrcEu5qRAbqW+D
8h1jBOjx8vwmQDQ/fPJUYd2KLKvc9SCjdP4ZGHQytlnQ2u71jBJTbJKZ2hgxOiTDkv2YNgABvxiS
67ni0s3Bt97tHf8rhXneEzUpe61dL4ggJ7A3ipYSFwWj8PCQkh1o/VwASu5A0JYARCBzI8zATQXU
BkLea4frZaAv/rLj/3ef9IM+KWsAO/m/b5P+XzaBunptSPf8V/5pSGeG/2BD9BzYnJCqXL07/Xbu
tSwCHkl3NBG927REBVXUb+texyfEkb+FLh9SOv+Ge/jdJHVwpLMDUA02dk7jVvCf9Egh873euUEN
NCdb+/bS/nOptV5vnmTydp3KgXittMG3ABrzhFYWebwnavOsbsaAUNSs9ftl2Od2iZH01x7GngXr
tim7W7t0eyBoLWEiwZRefTNla3+s2ib4nKLb7zB3HzLyhod1Mym32rnOROlLStp8yAywimQNr9Uu
xxNJGwERwWrph6pvPlXFnLHPjinUVRxYq3OP/eQU4s1onmSpoKfn4vuL9Q5LpCHuMc0d91M9+jH+
muEm9LLmPNM64RLWp7XycAi/TYhKrdbYD0/a7H7SS4gcw+0EKXvaFHIhc1EUbCtLPnqPZmPzXcIT
HT+lZsIHbSeaxQVRmaIgpC9b7Cs1Fns030Ww8cI6PRFljKNliFQSN5rZJM/OIAMYEcTc73uZE2Vt
aJ1oUrr5oYE9u8sW6SN9xPZgoBeRRYqU5mi8tL2oesAgw7qZBFYDexie/SbpOgg/ccPhco2dx4KS
o8R3xGvHe1oa81201EhRZdw2irIXiQZEWY8HdbHat+8RxbbnE4a9+87GGd618nEr4qa1kD/L8wlv
LaIAXH/aUjByaEvzCWd5fC/uwoxGD/y1sNsjwGn7XdIR2rAameobAwmUed2KfGuTYFZipV9E9D49
Rccr632ib7OMxjVJyj6AtyvrjTm4MIbFWB7aOko2OBQOwc6epgnr+6xel7E9Yllk91itYmraeGst
TPvlR6n5uHgWGWgeX+NOZyNu2WNnVv8wtHehLL39UKvms1XJ5AzvgOIe+yOxikx43esG+5pDMSax
ubGlf1mWs4S9yL4lcXsBTUV5w6Rhdxq3cPHa3UyvZIsqOLwkaqohlFBiQdC68WkCycdf1U6Z4+zg
eDR+yFB5MjOjPukJST7pS7/coDKJvvE1SBjY6Na/4+9FpPbc9WO+j/vWvo2KdDiZJBnVdgH1lGjg
qPscuOMPExeVzTgjqYlwmyhJTprTEzhZDqHEMWZA61gEZBgIqNMEX5HqA+BNlk5C7DYRzpZFs9Gm
OU28nbPpovbWo3l90cJ8/170JZlEbTzfkepTHqKFXD1KDzMkeckgKpl9prtkv68uWi/LSNasMyJp
MAuK1l6Xa6l0VH8RcUsIERaoJ1WYxl9hVnDWCvqouMldOj/0EIie6UtE9gHz0I/IIfLc3LzG0GBY
z9hGhDuQSntiZcH84IyeUUZ3sG8upc5b6YRZ/KysfCbgpKvXKmmz1ajmcFVF/Y8MX5qNM0/T2gtS
7IBIdEDWZD+ibv3qFRLL/jyGkhqOti/zTQuPMC6mVdMmzSCupo4kAi5LHtgAgeN5rf/vXfGDXRFX
TI6A/35XxHSl+vmjT38M/Z+ko5e/9ntnxHVV721UlSAIbGkW298/Pe0dsu7Azf6LCvQHfcj+B3wi
LLvABbgJ/uG/dkbX/AftJYHFo/eyo1r/ydYIqPd6a3QD1IfY4yP0JPbhLV7kkZIRIukZD3UVW5it
pcU2QQmPLra/n0X+/f+xd2ZbkRtp176VvgF5aR5ONeQEJJBQFHCiVVCFhtAUmqWr/x9Rdrdd/+r+
us994uVuMySZUihiv3s/28XRDeYdCDDeFi+gTrHz53kRJ1cTTaD27qM7uuIEdEbczENxPQLuZrW3
z7ps2d6pSsVEnvt6GUzupIEKGJP5aSgTNn8pDJ9d4ylAsogTMUzX7xsIWiGPIsgblHRHmnRmP9H4
nQrR/SDHnR+oqlRDeIzPY+E9DtCFOHrVJFOt/M1WGhWcFl8uNOjqPCkBH4/tM3NvSMvWaPif1OQy
dp5I4VxyQ3sbW349efrnos4+cJ9TvFo72GRs/V6DOEQ2nb/HbuY+Ulv5bEMJZLpO7e2k8OdVCe73
uazgTivOsW3dY0I9fRR3vDWjF0dJX5LEycUHgbfZt23eStADXahKfmgx8hawx//Cn8DboLrHMoPu
HLd8Fb0dhL0bU6HSR6ftHNjEIecAvKuLhBp5afNfhXk/uaDut+9kf0xPjTdQrqrblZ8svAVNQT+B
1WvrfVIX995SjBH1VnwmhJWpo+JoShOMHg2SF2TQtkUhTvJFdB5UcWdwQ6+uPpZK1hh9Wz2gyUuE
QJlYfPEvvseFQk996z16qtpHRlVARsJww2MfNpbZu+528taDFgX2MXZjQT+zHfOQKtZdwwH3MLm8
e0bHL50s5+hqyuPnRZJJVKPFlF3YOFwH2mLclyN9BK3qPU6uNgZYC8aA8pb7MeNFJbkwj4bSejsN
oEVYJyU1RB4t82OzXUU9X8sO85x1Ggtm3ekRjX05Vmh75m3iwmIzBgzSss5czx+c0pmysyn1iyl7
g0LKZ7/yv3LcI1C/0EOm3oUuCQeENi3epU5jZKM7zXqD6OoFsA6ePz/vMnGxKxdcVv3E3wujytvI
D3z0UgLwt93ipGrJBzc5V7XN17opV6frcKnU273AI2j5UqT8TzSSN0PjhXDnuf7YgJYbeLvYwzwu
K5/8hHHAd8C9o4CU600KtBwIZvfsgOll7s4nTEHVhnK3z59vRtVwU0wKX9qI8q2kXTuKEVpOHP0s
LEVctIWgvWKpPO1SdnkTYFrN/Ylq8sCANbODzqVHUMHVsGxN3lKVvogpSbsrt1PmfcLE8JoOhIyu
11WPhMNNuUzGdTZRzoQSyFXGbI08UiVuXJ0b1VBZCNwxLSKocUXEMfSD4sDsfkwt/H/bBQLX66Bq
gx7NdDeGAzs+n5ooCqlgioQmiI1TkqoAzlVDbBQfbkOB5fzzs8VxvgEtqmt7jLclhEugaqQXGBPv
zedVvjpi3QF18fYdR238AoW3Y2NYhBC0muDzAtiucG7x+8xcq72xsIx5I/e3uW6FE9vH3A8cefuW
y2gWeh+NuRZ/A1KrHKyUPxV+BCmsQVMOsWewelnZW7bwL5MmPug2I7RGR22ESJsFpUFJhV5p8Wkr
g7h2qDc7W7O1d6f8Da7YQlxmqq5joYuILgpcw6tK257FfVqzabxeKIbbOTYXGRUl1bXSUbuwQpNj
7S2h4bE44Ovys9ncAzDosA7M/DBtGgOzM+zA6VUjBG7T+VKnqmKymUp+0uhnrFhUlVtGpADsxjuI
Iy2e+Og+yUvxoN+nSOggSqpl3zDVjPCgjgFV58SbR14CUFDuIshWhxKb/aF0Clwg29qke7Mefd60
Y2aPgZIoj/zs9M5quSSQWO91XGF7iNGub/X19tih2AHHSsMeKuPzqws1JGBSXc+2OZ8HR3xwXOWt
WbgDPt9rLLgiFCU/ctD4XKmKEpE5912oEEz3getCJCqU+A67JdvZmrmMG8sP6fB/l0MO25Kdb5Kx
nphKkSFDtO8uqc2oAnkc1NJ5KmuzjoSC0DUNZ2eLpxl0rp+WbGb8Qf9HodF5Ta0BMWOI/NWsUDe8
FuursIqSWkPMwXbkuRqNZOva5m96Xs+hBiOVznRVf7QSUYQEp5v8ZgHISLGUykdoqHES+xRY0VGX
q+wd0zrr79CJgDJAPS0SemU7UJrBIno1Yl/ZdtFqpg29WlIqpyYevil9XX/vvPHdxKtD1YMxiw9X
GgosdQA0a0ekcZ4OfdXWO68UAO+g+UojoOqNez43RyVMeBRhUnXjG3BVq7JjrDR1Z6Hjv2fPbHbl
ARBZrzzDgRyDdKCm5jpOPQNYDSqeHchFyOxsjXB2o4TOZ+VS0blxSh378U9bsbufsvyfjdG/ivXs
azDDcEgnQAHJ4teRaeEpOu0n7XBwsmXZE3z5AB/rsgS5j6AfYYf23HVm9n9yRn6Zv237KfqqwXMy
Dds4Er9MqLzF1MGCNcNBmz4XO+5BIxPfqwlTP9T0j//8V/4yb/n520gk2Dpk7M0c8VdhAzVawelX
DYdi4QLZdgKeiJUoUSg1//sQUPVZv/wfhwBCgtu18+9PAVuz1c2POXuv/3wI+P3b/qmPGZvUxdSG
Fd1mwMdV84c+tklnFiEBdOufAYO/6mM0MmzxQHInxrZ3/7M+tmE8ULUcVd+SO7+EBv5TiMD65RCg
EigCCoVPBPgJK6P5y2UkcxPuMqTK61anlPObWcO/QaxxejNSqaWml8aYtu7hQ4YXrFSOtZ42VhtA
QqgODInUPY705XtrJANHbhVJY4ZFttL+aTs/ZFs4ITBmu13loeoTpla4dotpMR/Ikq3ugCtl0PWG
JLNTtejqS0JmIsJIm6ferQpS07kf62EDDDZ23zbLg1G10DfsaezVF1TiDQm7YipGak9rtQLw4CoT
XGZH4XRfWtSD+ux4xZyyFfiU7FLdWWsUPCBB6HnaT3Ev/1T6OhYULXKhsBTq1+ynIAiXc5MHO5V9
/lXG9G2IVlW+p0rX7hzZLHeWXlRYuQkE8a32oqyvDWW42U/Qwd+n8P/jBkQdZlz+7++/8EfxbfrW
/vjz3ffze/44glto0/iRVGyGnMOJ5Pzz5qNWDhQNh2ncI9yUmwD9hzbt/cZHzfGcvgHO6MZ2bv/j
3nOpWKGenhuZyT0+QuN/ufegUP1yAt8AKRpzHcb/nOwJ1f91DRc5hxJt9eRhsZf0GRm0akK7MZBL
GReiEjlt2e8audwVNczUoEg51aiOB91YJVNJyRyHPmPVnuOM4kS/qgR9l546/Zh7W9m213ngxobg
2NffVXhWfDTo1087p4FQtqsSVM/FUImYzJ5NPajpZIeYQ9FD3rPjxNiynovc6pG0Bg5uDjxyc2PX
tCfyp8zzanbXCk2Lfp+20scq0l7NEFXByxr4EWYr30+8OMZdrd0cnTWLj3C6+0vlJbhcu+w1d6Ty
nBUlG0BZ0dEuZ6rQmE5FzaYQNG7X3K4zT+ly7u5H+l/xzfFHAsX1wbre87ClCIwe4pCQhUJjcNVT
ui0+mtbIJl/1eoiaKtqFRfn6Tpc9xOWV356O+r1tzCpZl/6mJ2vqswLdZ5r7GI/DjQY41k+JKU9y
1a5ndmH0l9J2qrvT9g+6F5by2nSbZ5hc8IG1fj5xgHnlhHu0Zc3gzDDuaaB9lRaHL6euH4DOry90
kahhA8EhhGwxUMPNqQqyXMAl+DjTXhk7iLkitreXAMTe4kd7cjb2gETVW0Moyg51tcao7RVPFEqZ
T9pscCjZjt646I0dBJ4ZKR84RaqWH93a3OE0WcHXK6ceo/232tTaxwbdnrR7zNTbaIpo4hx2V0zQ
s93VRbPs5e0C0/DZFO6j3WX1vp6xDmrdkkC6FA4xC09juGm7EfOAL8XaKJj4jelLYsbJyaRDxuGM
0JX3uhcP74oq2ypwpGrc93phnMtM0nE7wfNHHUjlGuEjezAUjVQRXuo01Gvj0hU9MqkbVyGsC7CN
3Dl+Dlufyaky0mQwSw/7utEwUG80jR36Qt0dTza/d0e7PuvaPFxBoOlhHbeK9cXBMXFllrb6avKH
h93Sc9LKcj1DRhZ1vdPcNm59A8LtFahuqz/WGKaYo+T98qFU1qrs3ZZ67Y/Fc6abQm8JuyfwAjmC
ZQbzIPLETZlrD3/vtP6rnZaGb+g/rfQ3yF81fpQ/r/SU/Gzf9PtS77KX2mLVeLzxJ7Oa/77J8ljn
UQ9/pi3/WOJRUll36crTnc9V/M9LvL1t13SVnTUJX46w/1MhlvVrcygik8MeDYztNurElrcdVv7k
72o1G6aFTAiEWSrVvQTRbegNDMP0hUmROb6oSemQ37LqS9Ys1XmdPMWXLjmooELUizT0ANZjsS5R
q8/iNqWnUsCkZOn3nHY/e5lx6hEa/HLMGhla7uwiJsUehLOY3B0FGVZ6NUJ7ulYTONJ+rRfXlKSI
O4hF7r5UvXQfO7GzN6n/7qlLV+KwG4T9CWU7CtOwb4ZuicN17VKFMA22H79k7bhy5np6FWTHRTiT
FgqMdBj3uaL3h7Gq40stTRP+mjLNx0F9E2KtvzmicG9WYcQbFNVFSjEx1EyjPTPwmu3bCT4xVhzb
K1Qo3bV6pPjUPIhWV96nupUfMCm8WyDALsV6ZQvbQI8lomOj3QHdGvY9BN6L2ZnTKRc81P1F5EsZ
GLn+I6cYDwGG+FZDr4D0FVJx5wR+7lXXrMp7ZScbogQd+ayssjoumXwevZki7mlLikER+kIrSv/A
3HMufVqi27ctgvfcguT2gsEi/m3bST74SOe4P90Kfy4uK1qgsvaYWp5wAixf7TeJvWgIdHP6Sq8N
/cZDVbwVQEQP3kofmkZv5fuqoqJnantLFbV1Em3fnOC8rldNXIyMkZ1u58ygVcPWzhZaBZZBb/k8
E/HsZR76Iu/SwE8rlW6nd0ZxtWhOHLTU8PCHzszCCKMOjMGRqHJLTfezjItHRlbpV9Fn1DZP8PN0
f5nrGt6elWsh9loVQIpuCDJXXHtH2ZrDzWB6iAVDjfAGGIpwbEo9JFuMRe2CqavSsFgNDZMHasIH
6+3QBg1Pq4xxHx6eJk+ru4woIU/7xblO2noNrXUZfL11y5umV/JrXTHouBW0HCjUsi/O4lu02z7F
DvK27w2J+SbhRjS+aCx77xQtX0VC7rA2K3af0TGTsHYr0LSl5d0n8ZIGk6tETVoiSSxjaLfWOStQ
QSrHEEe1xasz5TDKwrEbFmrF0/lqXXu7wybTV1+8Oo+fldJOlFMsgW5GHn3X3+WkdhTKqtNwGSHZ
x/QLCO2l94q4ChLKGu61oZKvLc6wwGsm7ZtojZYn2NIvl45glnswDTF1fut6NXnEhfl/acymH/cg
J/0h1ownA1TxlSSe+zbYSF2+hosmCQDJF4cmqVx2TqpzAzdlUY9o197jyiNNCZbciUvfTCF2hKCq
652bVuU3fFDelzYz3xR12naXrXGjDfbyw2paerTBbNcVJQBx9Zwn0MYCPA6Mtit4NC+9Y8J2W5y8
Obpx3YelMg4lyBDLu071mYqQvr3H90yNq8y4n1vVksHitmbkYtIDjODYhKVRa2ezyTbJlsPT1MuT
qDXnZKlsGFYjzV3eBzPf18PAikb1hBMoXqPux8LMLvqoWPs6U8UcKl4fm5HptOqLLlIPcYvFdNRV
uuFhGmf53gGjeUwWQ56FGWMG9Gqjv7SMU3ljnTL/KrJcLr7UemNiMYuHY5zMlRtwXmxeRwoA2oOJ
6/YgVUJCvqUu3a1JK8p7bTlUG3daPt4tclFYXNbU82sl91qfMutxp7ipfLWnZfohwcO+LGal3Rhd
Fpfgtijy9Q2LYoXAiw15my5eLEL2XciO6RSTblSQNjW1eaCptgld4U1XLcV/RG6FDO3KOZlYK8Kx
qpjhgBSjhpg9dC5YNmvNlGjf5WNC9e6+ayfclhi1R7LbBOwIcS5VwLbHjkjOrN9XApZlNGq2DKlC
LiO1ZhfMgM6lDFbVinG4MgtpV5D+2qnJvq5KUlSHxTEroT67i7CF7qetoTEWHIaly29pGuOA7eX2
rZYTcKWBor3YZaFeaOtO7lgWZ6IzYj1SsftkmVV1kQw6LwjCsU5VSR4/TYTcnpneUChY0YJ8SjFg
Prk0cLFITdxWbtZUd7SmlHdIIHLXJSUdaJkw8baWHbM9Zgy51SYs2zztmMItTEd0b9hJ15F5aHRl
ec49lZdrC2WHxyLljcG2yq3u6aavtZ19TX7a5njR6zeWVcXkbtc+fjDd1sZ9I6bHZFAwCaZjnP4w
VmW5rRQEjn2vyBpn6hKfvbppHhiKOMeEP/ydho6VUoDW2oNkGHZzLNF7zXxmIiGV9ZCA29/l5qL7
s9YPEczogYiqxXo0ZNp6pferc0yzFIfIlN/JYiDzKnXjNgbUbbLIivgyrZye7Fy/aec6qYNqNR3u
taG+S4g177f385EqBu3aw3NzYLlwAGy3yq0Q42hEuj5Z94W3pt/jnvR3NisYZ1okdX6P2i+nZXWW
e120095bPO84akP31MZ1eTdqtGBxP3E4ZIrDdrlxPFjtU0ICdqWaLOzzChjeYHjyfmKmk/ng87yA
wLUWURekHnJZmLcDrMgbzg/zsePBiI9Rn86V576rdea9a52h1xg8LElrUpG+qjQYH7taaUBXpcwA
spGlhssv5SFNoa8VoLs6u2zMxV3ssQVpGIKFotfsF6D87q2+VNx523zAJwanw1Cn+WSN2lbX64dq
8Z4JvRM8HlPGwgRM5aBB0ndp6SBB671kSiwe8J538s7mhNodUOgkOj20c4t0vSbVa93uM55jHiMn
6S99ykiCBz/vPCf05aGVSTgDvV52nGEcBty2E4AgZwCaJ9M9h+E6vwJ/jlQ+9Er6bDWGlX0DHFNV
Afl21YraaW0TDoP2LFf7RtPmeez3NVR0dThxyeqtOOE+Q3P7JuP1hW3v/FUIpXrPx1l/8vrBedSY
r58gCDzKygGWZMjyyMm9CZxhxClczxe7oGc7HmAcpd/y3n5xhml4Q9xjB2G2Fg4ba3hxPCU/MKoo
7qTGWdEslWs+HJy4LeevCj/0h8FMfSuXkoI+dWm4BIOHrDhQiNbfGxbj4mAYzBS4aOslyaNrD21U
rvp6nzJAIz5dTzS9+H+fnv6b0xO9kQhH/0Em+x2P84/64x9BXQzlW/YXP+fP7/9DMrN/Y5pAxAZM
yqdp5V9HKcf5jbgFN68KVvdTNfuXZub+Ru6PWBRJPGIzjo3K/S/NDDMn9OcttUN+k//0P+jV28ns
L0kMXAUEMMhC6FhNbci3fz1PLVolQJbN6oEiNgx1HySQbueFx6LrhtUEITRTT50aR8gQz5pAFzK6
n+OQv3B4/jxe2pxA/99LYLgEfIe/Wd8cqn850tXk9BrXTdRDzR7vHJvPi9dcd6OIqnKXCB2UIs+A
0GOnxooV3zRNwvZEN6to0l9MrBFryjxaSW7UVfGz2t31Ho1cQDrkZnUzLVAxDTjkMWGL37ybHDqo
sfLBpvBYf82xMmz/urCvAcH5pVspsyg7v1OixfIOZt1zGyeC55s6kqZf1Z5Zn9J2hhGqAp+aUT0t
LlV3XBOHGXhDaSQ+efSrBGQACPIV6ieYVLdg4XUVHo3sz4ze6KJOXJvKcI9uM0Rzlfg6G7J723vR
DCXqEvreO14BK6RPYCwwWfVK6flqStl7zb5lLoN2EJdZwdEqpzYSHduRvnlF7VP3WTHcAQC4wuHz
tiZDwPk2kPZU7GnVcP2pp53eqKr3cjbVvaA501/U6b1in58Q6b6uusliK9MEjd3xy1biDcZtUubJ
3/7wH//N4qL9DMv/+9Vl/6Nuk78uKL9/zx/KjPrbpnAjzXxOq8yNrfy7OONav9mUj6O2kKq1aYTg
P/2hwrPu/LGCqHSUb4FbRBQC2qCd/ocFhLXn19t3mwPww1QbPzhtq/yiPysynl5XHGfc4kDzwMtE
s7jfd6KOGCY/47R+aEflUKmDfHZL7RlPprYbnGXHcP3UL44brYrUj8ZULseOHdVWym0dvUEUe9YC
PMaKrIJ+9NqPJR7tsE4dXBpup16zpW5emQaoFwUu6h58xxAalKIFjZtlO9qV5mhInAuavns3rRlC
cV9ewS6f+GmcZgwqcKJO0fWQgpz2pPbtVgdzC74fv3Fv9n5ezEdSNuu9BfImrKEFBdoyDY/EZUSQ
LDOnDWQSWA7a/bQa1r7rk6+2yYYNd3KxJ7aR3vTkh65yg9ekqlV2h/OujSxgP3cIW+B+i6dhhnRn
4H5eJLzI0hm/1QMUotEYp7A1m/ktQ9on+2WuDANWmuA4VOytblKj1myd/VQtKARmMUeo5N/pSTN2
5qDHYSbs7Yw2fNOJqAc09J1yT5Q7NOMJuAiB6rWn4hNqBcV6TnUpZbfrP3GJym285NQ5KnI+NIYH
AsSptYvX6MVzP1rNVzT4Xelt266+vAgEOtCGbjv4uesIEXBIvGkbI5ki3R3VQFZSPA9rnd0LA16D
0QE+NwwKY/wmGdsHaSjxA5N468oUbJd9pbTABvW2xOLQZOe2LqZnqKPdd3hx3tNcGvQX1fVA1Kl2
CG6OXhl1E5Y1gsHuvTNBK69IZUK41Efr0Btu8+JkOQb33BmLpwpQ1ZVVpN4erKh2NitAgj6nLNKn
idq0147U3RCiqcab5+lof+kgOcrrTcVcJY4ZCjEMPXHwYJogqbCQflYItvxaXWbYwer6amHyhjHd
yV8dDtmwfmNKGSw9i59yvagfXEJg0Vxm9QOMIO1s2FuscgO0Eb3NXxtKWoCToUwmrLartitz8KAY
iea7BfjceegFjz6UmjliD71twQEYGf20ZXUp9QxbSdKJ2UDxtGSL+tYOZOoUwxjyIIHzd0AU4mtS
Qlm8gUqAS3pLJIDbeBxrqwJPwo909AFoJRrecqcnXJrWgEnxYHUjfzz8ruXiYD/N/JJOvwvVV6Aw
eGqLwFj4HBq34AcyukkliY6sipaxXMK5L8nwcf/tM1DzDkZXDFYxbSRgpdK+eGq0KjsvmDe/c9Qb
99pgND9oRp3v4gFE7ucry+O8cXcjbch0LUGnvU9WNNPMai2KvOLUvTdnrkFT6cuPokzNU2VVw2OX
m1NQ2yBpqIDiD++NcrksGMe/OHPJFxab894af5Za1Eukeh0662Tmr59XGuM5ftuaeKQvyPLB/gf6
HZFkr2+nZmMtp0iTgbXK4sn0Jv3rVCkZJPDSdO7Z65vHGu31os20QbQtYyc9GYDeke9k1RvM6oRh
kE9Nx/i1K6ay/947aXau1Nq+dTV7uZIw6S4xedTLJKnQSbkiAV56Vvzq6YwE2eOjaFXxzA8aXX6j
s2xhtCRVHqhAHferndcPklD3vmb4E31+WuVU1g9UkRCD60SMJqH1oxvUbO9wupnWtQbBKMYeyZk+
tJNNMNsqoJxi5qpf+UfmkhwgMBLoss6CLl/PaJIwCpa7QekeR0kIZrTq1ypz/QT1OvDcG70fbtUp
uUtp8PUL6l+pJvywJu+KYhEQuQrzVt25zJ2xM8Z039vrU4KCEKLnu9dIvyx0MaYF/Fx6s0C91av6
0vMcQ9Q06mGvZZp9MZv8CyKSdrYBXtGB5yahTfIh0BxidVm5nAE7h9NMX2hcn4zKie+0XplvtVnP
d26dLFgxXTvdkwTF0+mNZrRg4/SdBiTEODIG7F0h01Bpte9VMgej1H/IChKG5Hh6la9bC5tegrrV
rfdW6w+Va90T5yoCMjvGrc4M8UVJ9GcKTt+pSClRsrtyh4rY++VSjZFSGjCCOzDVyLT6yE7Lrh8G
PCt0UuXr93K0AlBqMKjXtNs1/fxQ5UNz8hyxN6i6pkBx5QPObG03yyH282kR18LWvtgIpLhj5VHM
S3lUiV8fiK3iRXaHhj2mAHPkDacmWemaresXSbjGn6uaaLBQnVPLhb/PF1sNrTF+UbVSwkYCa6wt
H8bSXJrMdX5kOgNtE/DBq2MrFFwI8dhrXf5tWRQqK/MRWduQbqAOsK3izutPphebyIrrynpgjMUh
ydGyKcxWzWDF+ubFD7LsvqdLH5PPcZczGfSpiQzkkB7kvq4ik6wtMueoV9e1Zp8L1vx7LiviPHas
3UHqNjkEUPsDGY8DtqhEE5odgctO05sfHTnWCE3pCLRToLU032Cn6KF0KTvNtfFZpfMtUGue9h4Q
mT2+wncydi8yNfbqIuMvk9agNxpi9C1jEiRILOWmNa0v8VJRscxtyDy1Sp4pC+wC4GNhzwDsGh85
uENPuN+pRRovjpVpXwQDUfYQGCSCzrSX00RdjIXaGruUwo75l9wZCGt3ZvkD4Fn+o8ffdyKkhGyc
dDGUQmXc8UyfdqLje5PSiLAFqmcwlvU9PNMZI6FkZ2Uolj81rXtuxmZ6ragqfZ10zTjbvVmDAy0X
nznHGhbcRazkfTZsUgoScyxK19t4z8n1OPdCO3V6rM0+XGKSBx7qm5vIUuWWSJ6AXCq3tta6gTD0
WfIhMgqK20SJRuo2rh2rNbliKjyUtbQa3TfXicfgPNTnmszEybRKhvPSKrH1y/iJaG9/gX+Z5dFK
dRHqh1cp5z5xrSM7BbHX1FpG2UxIjLl6bUZpO39U+KZvNQpRvkxtNh2a1JFfqUilQ5a1MAQVyXzC
mfCmopEHqrMeRckurBxH5aTWLGCNpstDHQMabto+D/J4iXc1bgVeViFBfBZvTscpqWvj6VbYinrT
xlWLM7Nu91LHLjJMIg7YM9zMNdWNirJP9MQOCnd9ydu2bsKcbkB82bLFzCA0YHZdsStNtQ/qVph7
mqpvZmDt+xZipK8PeA2sohvvVsEeT4Ab4Mk1urfLJIsHmXfTgUZ05QU/85m0RvdjcjI2IPbS7zya
OXdDEcMXNCQ4yzbLwqFducXhb/jUgFx4gta3NBgOFAgPi9+RFnsymnkPFTIJOwPEpm045znTCR+4
br5fKm0PSKULCo38/FgnPwDbE9HjkTdScBiNWc5JlUrfUzZqzKvyLj5imr/OEnkxY8sKndjNAZfa
81WcuxSohjkNpho1uuvFE6yu2pUzYM8eo3xL0DV7JlJ5ck9TkcTIQCI88fmDTTKLnqIkPBISqUKR
hVHC2JFA/kJMkf3vem2xVRHIf6WwYMvlI32PDTq3RTtOzphiHGjeKG3q2amoHCluTAVeE9O3jbjW
DzwNv86leU+WbdyVDISDxBymB4Zha6Qta3dOcqvGCWSZN721PsvVyKK1sS+ZxzwoX3v8Ll6lhwV5
0VvpNNZbN9dLkOvV+qZ1Wn8zlZBZM2380SaLHk2WPt64KMYh1inzZM6cfggBdncemL7rybHlJWGr
ElE2YoSL4rwCOd9qTof829QnS5AprUm0JCawrWRQU3LqMoXsqoCY6xzEjZvyqAQFNKNC71WXCMlG
MbSEeQUfcmI2nn93dIw2cLDbM0iLoKjN95SIQggBwzstyWpXUa5tm/5kafs31Zz67xSW5dcTeEL2
8R1tCHZmHQmfPKjj4Knkg8ZVCcXYiyNTHxy562ou12bWKvdNUa5fC9KeN11avnMApRqy1uXQoDkQ
k4GcUYdZlb7LsuSpr8jyuzPa25pFeeSO7ohx12pq+8L2xUZhN+ZLH3trwB7oYmS5xah6TTpfw/5y
wqMmQ2dZudOgyz/ZCK5XssGsvxaji4dn6YtbUUnHCuj4Sd8q2amJH+cZpSAayBmeg1vsiKNhzT6g
8NzviE8sHCMsxEs2JO5XYklgX4wSAQUfZOOPsWEqLPmOVwWDOlWPFZv+yNJW94pBXr3rWBgjV1uP
2Ya4bChE4AG9inOGDPQCvRgHO6AL4VtVSgKHyGSN+anmEkrYlOQ1NFe/yrz+EYdci5qOjapaDew4
PAfXJaCilYEkY5iemKvsxo+UgczBMfrs0EpICrNS/RAzKjDGAofjY3ctWgaLTdK6jJHU8S5J++Zi
5N4aCnxYpKgYBVtJjfUoNrIw99z4xAv7wsEvDh0vrXdKXrrHwlaSv/OP//ivVB9msxsh+9+rPpe0
/v7jH2gc36rvfzHl/PzGP8Rk7Te0IF1D3NkaCHE4/lP6IR3JZNhUOSb+4s0hAAnWZ2ufpLripzPz
dyEIfrpmWkhJFqbM/4mdzlDoFxUIuhMeX5NOHJPXBUnsryqQbJOhLT0m8PTBkDhc0vrBI8eTRYnL
GTHTreeJp/ANU8PMZzv7XCSWclQn56zDAxZBuaYibNgC3XtjWd0Vg/pkxfS/baIHBA5zgkA3bGQd
jW22yVpJGzpLnNs554bma1+fNTglE3XfRnmD2HkDI3gf900c9q2FrWQqUTVJj/tjm30M6pCdS97H
gDWck3VVS3I8Lphfi+Av/Lur2lPvbEZpvtdO32qemayqlBebC1Jvn310RS5CpN4lggh5dox5D24F
yTSpPjxR3UzaeIlni/lPNuxMYCrDst6Z+XKlJnxVmyv+nGbflgZLZS3Xd6sXJ9jp7wTyn+XSEUyE
FdqWqfE1luYha13bxyEB+LJjrlop7pmh+7MYi28OfJudmkwXtRU32zvQlxyycR595A0I+C7p851R
LDRRQS9AQCA9Don6MTGmi1vNNkcrOzlSHvzOjNDba+lWObdciUGvj+uGjFamjjeGh45pZSc9HQho
ivnRTpfL1Jj/j71z227byLruEyEDQOF4S/BMiZIoWbJ8gyFLEQrnM1DA0/8T6iSfrU7Hf993X6Q9
4lAUQaBq195rzfVVCjxjKntp6uQF59TZlQhTV45FHDYfaCT8puymW+K8EE2Jblv7FVohKz3OFqeW
JXF0RVYx0O2SC2XKBjsOIBNKcbLT4tQHA6Et7MEqxt1Czho6jPyF0whS1EWG3pGJHSzvVdG138AY
wret33bmuIM1feI8iHp+0E+Vy749pPJdIG1nwY6v01SdTL6cPTQWktuAyyyqmMc5JCsxI9iEDpBg
g2t5IzaIZC19a74i4/1YTvNjY9XhStrqAd/kWk3FGBTMUddhGb8UA30CeOuvXjnDwcXilcgmPqc1
mS9K/44z6MYfYSs5NEAhFuxnu2/2tSJXvSYWKK46blSxR7vGWEInKjftkLX1/XxyyomMWvoMAbMi
wTGQO0FRiaxqUH2rqtUfcRu/+mLkdLlky3dRdjTc4aFu+gdLZe+5Tsi57qA36XP1IEJDrtIY9W5m
wpGcHYAaYKqwDS/X3SgceBTWV/afZAuu9FyBqNx2y+uWebFUSFBG4XyN3WbaO1CrV2hOz5WpAUYO
Ode7Cek3jRYO1HXcdpkCwUyPxw7w8Qz72p2GY13aw6HNHe+gBo2BupyyTQ0FEkVANW11xDbHXNZt
YGqZeOV0+W0aGufK8NIKHQnUpNpaN3gyCT3HlbjGdzi+hG6JaimiT7mkD9TFI7Ddx/xfPjEL+94q
N/FKypDGX/oNScwQpCojtZpuBfUdspup2dSWQlHbOI5Dy0M10dH7yElz63OGM61YLGqjZj2Wi2mt
7W17M/T2iyqm5rWAqM5TmcgNRMmV59JbqGbfod+a92tzKpfWg01SOZZJdl7ztTTKatXWpHxxkA0c
ZRpbwkz43tC1EGHHbUgXSF8rbOY3lu72O2Vy002p+3WxgvdmPR7CoXnXxuZkOekv0rzYP34axRFX
TRiL52CYd1xM8cvf/6CujBPH6olSLff40zgy93UXcEg9x3Z9PYfGr5KYl8nAjxS45d1gTeoCmww+
r89yfd8a+8KZML6QM4m63EiPVHeEYIlfxmN/HjHyTuRNMu1g+rLEZHyaco6uq0QSYp40u/TFD1kN
l+U4McYpEAz7ygN/0rc/bOC3/26b+zwX+XhPj50f7g6+I/fTtYxEQepzS8ji1NlyQy/1oSQmNNBI
JR41OwuWz5tl0K9bVrd/fmvx2Qjx8d6gDRgEoer9t/isKiUHIZm8Yt/mDUEBZe7dTiE5mCwXp6RM
0r3uq9eRIcw2HQcGBEPLc+sXKEmXExNj06iYTzgO2XWFvff9nNMPigNk+6fRYfmGDYZ1lMZhXSbX
hdNsc3odKo8edVuixlLWufcyLUD76O+Q4lbPEQDfgNiC6RfD47+5hdBh6SZmK0O3TfPTF2tmsZ+X
zIL30gQ0X+q3uj/f5jPN0n++oh9QwE/3Km8klpAZopUYbvz8ZBBr4THfXe5VPwM/DW9tMmI8XRmL
cOH4dBo9oqcjI7/LhukWG3AOMJ491Jqj93pgXV5KFRKPU44w6oSrMCQqo3+Aon4WzbBDFtutsFbk
QRRJZ1crU32NbHPawbihexeT29SjrrwUqXpUzdJONmPr2MVevhkd0NRWEb+HMVmkRYoxGD1wuSPK
4J3I2kcv6rckE7N5V2IvJ3svZYE1nk40PTFF+iSMIbOfb90J84Zp8rN9T/vW2EhOXDrZv7iQf7PC
4PdeFEu6B7Pj32yWroaUWRPFfh6Nj3JCsbLRKyKEYhT7f/7SqLA/ry8oxBestkdzDYXDz99ZY07w
oK2p2NvpgJY5PtIH/MWC+cFh/nRfIG03IfzyT7Dhn94jliTWZgz49qU/YKmOlRkAYX9dVvp4FtOu
a8JjahJ8o5nnMfTlxi2yo6bCJ2BH3z2USitgVg0KgUTsobCxyfqsTtWUXxuQDWZnFBt4Ruk+Ew7Z
xzQiV3iH2qssdjacdb94tM9XmMyjg8XwJwCZSGSAIbqAzJ1qS3uZYG6/Nne9qrqVbsbvZAKk6EvJ
5FTpMbXpMnhOQoFqMO6zDTz2yxF10LtLWZhyY4n5V1jwv3li/8hrYx2Gb/bpoFCYdLRx/RR7I+Og
MMg8DuKO/qeppXxmyRWIKbfW2eSdc9vBg942OsO6/KZLuJfDtNhooBq3YzgDHnKMct1L/euYVGKN
iXjpojnnsGfy14f2WfpmsoZpqAVkmJRrN5kedXN8ndvFrhTfK0F1iNKbMznQhVTqDNC4TBUjyB3D
5B1q40sEBmiVNNyfVsXC1zrDSIfKStZ5mPk7054f/aoZfpHE/DcPCXvG8j9D+JzePl2jMaqJYhuH
ArhHsabEUStGnDvfgnMVVtEvvhGMGv/+nHjswixrhmECzv20iNaWmIRJfOe+MdsCy0Bbrr0wOdL0
2PsG3w8WT8ZQkKboWbNMJQkVYJRdOykFIK41UoEKEqzjfKg3vjOjr8kIk4Nf+71NjSsmVTeZj8xU
+lT7DBwEiJT2FbrJRWXTKSe+DePTfIpE+hKOS5WKiDeZ9eu6J8xQQb6gXEXdkiDs4Sv9OF6iVhZr
kNUIwhHwORqTtqSC/ogvnyTPuZMH5cGtXA5BYUEk89il5bHox4e44yDppahi5pqjnj2PDw34W+Q/
PgSJ4QEoyi3BJUchqNYMt6dhlU7r5Q9azr9Bg8ANWfUD/gKIAMtj1Cr7jDzgwYmWA4SdajxPlRZk
NdWSHibXqgaI5Vb817iovtaJvYQJh/WVb6vXpuvWY88FTrL4OhacWXxFKU5k2NdEDpcRe3wgShsH
SM7ALznOOWNpOoscf7rsyKF4l4fsLHE0cGPydDhjd50Z9jfZjsUxNezz0A5rYTYT+RvjTs0Y0OhM
lyePyj7rrK9mE/9qP/5Qe3xaD6l10KwjvuCO+uzPIZwnAWRp5/vWnV6Ldri0OvvewDGLJnGyXuqv
j6N22fkGSi0qvY9nviCcehrbcVUnvKzOBRrUAn9A6uO7bIS7zroIDKjpFRsgmtM+W3gPA/jeehVZ
8aYuIOmQseZfo4+UUErZF6Gw+lcFv3swu+JsaqwxmNEeB0G5pTcCrIse94GKOoaUHpV1xMGQ/VAy
HqG9TJntJv1DN7CCNmaH9J0jqY/GgQbzxbJ7Onyw/zZxk4p1Pc6nXI4PSZjjrgS/i8VieoXOX22b
qru4nA72aeycBzYRDpn9AwKA26Wa79w/99f/eZt/4W2mwbVk1P3nDtuheOMU/pNQ84/X/Kmrsn5j
Y0J8A8+eO9dl4/pTVuX9RvfcR2r3f3TNP2RVtNBcWANopF1w3Zyb2P//lFm5OOV0gAAL+9zH//xf
gQUoKD6v0qQo8VugtBKmQxrvpwq0N1sZz8B8D6GY1VrUWfZiJyGztj7WEUlKpqQD4MBp5oCqDUCT
IyBCjmzy69kJLcUxn/zvUI+HN7dnO52REXzzaQ6Uq8hP6bTxqnytyrBjMDIX33I7FAc0X+YNgzaH
VZ/H8BrRjDeDkMnp7eOedRB3ePdA9LJLo/rhRh9e8rJpmB3K9LFjTvtMTt5CKR6ygiAxvVIv2FJz
BepRm2geiAi9kuLcoVBFulEKlqBOv0stRUUpmpz9YjKbkCkCZMNU1Yqxcub314v+SmyJJZ4tdndq
sk1WAhMJGuGjmEy8ROxqX86SNlsorwQaIG+DEyZGZlRk6ClTjaSuqq2IrOn0+YwhT0dzn7UnDNzj
q5cPxbPVxRzRcElPp3hM67upSsh6kyZJawn6+pyxKOYd1pDe1GnQe+N5tlV5a4upRFfl4dteTfno
7jIVp2dP5OoOsT3ELvwnE8dN1x2BNUCQD4YCd4JjTZDkY/cWNYZP2ILIXxXcG+y0HNyAt1eHEDP7
PUjDluzOlg7bOAm4jPC3aT2kxdHuMGslkKxOnhoxtcytUR8H4NIMOyLbj1ac4N0rT8/Nglpnyh5F
XvX3vZU2NGONkW08HQzaOmn4tdMgglajXW+KwteuxpnhWlcwfiqZtgfQ0ecrQNP9U5ZOVR3Yft5c
jWFTn6TnDe9+489knE+dlpJ9bMmbwSqyTQVGPEFN7NdYr+hN0QVWzSJt7dOX+mP61CoG8ECCEEuY
ydh+S5Isy4IxrGuMabWIsNv7hbFnMY8vskrFk0k2550/27wb8Pzm3mAGuO1raZ0Mogt1FFyl3Gui
Y2Q0MZY1u6HeQ0gdLpHMiXCG8vqsFVFzxGTh/w6Qw222jk5mFHlboxeDA6v9C4YcIAEo+0oNM5dw
bqVFOcB0FXnhygdg+WpVpfAXpFy6iXToRz6MuKDOjeKB7zFFQNDKW1cl7XVrTPLoIvbwN0Y51ldQ
+eChOlOUr7ldywdP1PoNvknIXlrN3xtlZF3Xg9WXG1nm1Tkp3DJuV2POU/5VFUZiYaSPaNVxeZTp
6chDhljn/8rCiOgNKn+YEufSQpzWs6tC/8A9m2jwgG2N/UghM+vhZRoHMR0xtCb7enRuDY+udmW5
M0K9OKImavx7lfH0bFpwhM9h6E8YtUPccC6mxTZIKxPnTN7a931vM+abSFkMFoM8uoJYP1tVrq46
G5mNRdlDk6Wlq4m7Hyk52m6P4Mqg4Xm5hK1CHxaju/miwlHkV07f6cmtG6OQ8ddWNff6vTW3iN4I
PncKG2t6re3Hvnm0cIjdaann45ltxHjgIH0cosK5xkzU7PIuZVKrMtwlfT7d1aVnHvokq+EG2tHB
m9rsbmwwuWZjogIrTZCNCj/bQKGD4+74qzxs45VRyzOl6qqHf4UOPb6iDKvGmJ8ktHrXuyElb2w+
O6HE7J7gZ0tMgPlwqgyIVPyYBZ+CwupRWsI6cJQpA4PLsqUH197EuvXs91W0RkFKd38ctOtkNsJ9
tKzWU68/FUZHoGLElD8FCdMOp27mGoYdPZyYKILA8FN9q7fyixLIhbKkfKT96B5yr3pFdEGLMzYv
+tT4jHuzx0g0N86YJLddXXxlYq9W5nSC6KRvc728H2KR0z92u2DUYcnqYzqszWKZrHBy9PauZHo8
OQWhAJRyiCelc13HRntsRHvqkhAKr+8NO2LvrbXRAqZCBO/qDBNTeWwilwqtHKv5Waq2vfaxm25p
g0Mz662Tw7eNlbrByab1xQVPd7nT7ELbWYhcgm4q5zON0YQCt8SOB5u+uqunyb8QZAiqgiCR7A4g
5Hjj+M2bWxK1k8aRcZoJlt4QRejlQWUrYNLgakiQ97j9HlxmrGvbsMt1zbxnM8ctUXpONJ0zRUtk
Gozmy7ycEDTbahHAxHc24C4eiVQGzTC057xJkd9Dtr4fsjC8s80Q60DfIEEo9Ykp7XDyQx0PlSnk
S6bCF9nq9Z1ZueOtqXx1ijEPXJzYL+77scyDTjjH1s0LRtncOommP9ktNh9b4x8yUVgdHX5TM3Vf
RzW0F0/z8XmiHN6Kafa3uAyyd4cmIz73TdvP/dXYAdwBTNJaZ9YY7SrpYpdEBZnXFxSw2bomGOJE
w1nAoTSrna9a+WplGc+WX7YwGdP+wk2YYcjTs9vEDu2VA3poEztzu8bhf+uiU1p3ZtIc8lmI2wzL
/1rrp+rGHo1vNr36TW1o6X3O8A8wmGs+daWF45DMCoM7Q6YIAAfdCQzLLbZTbNK4x5ayM6omPmkD
EW92O04I6mJ1cDq2SJXOzkEDd2asP4q//9XJv6qTBTyHf6qT9yCA4p/AEHQ9l5f8USYbNhR6Hc+S
KwhvX8Lr/qqTAUD8Zi7INpr5/0L9/GU/MM3f4HiRL0VL2rKW2fVfdbKB1wnUBJg3dmr6D/5/heG1
f271W0uSlE1uDqZ/HeeU5S39px9GGDrAgzmxI/O+pcBD/TTn7QR0lHo+IN7Wv6qsqLmDzdu8Vm4K
5F2m2gWZ27TjaZnAdsaeHWStAv2qh9nIJm0Ena9VyNiG6rnVdX4Owgjgrcws4tukgUS30ipbHEqp
0m1vwfWsQNviuyf4F7XQuI5p++6oYdPLnIiZ4Au3XUlD638vZugHZDmM1o2GLOxGFVmcUTx344sf
VdOLK+QUo+7jsgUyGhBgN2kzb9Fi10d70qrvYMmTly4ap1scyiCHkSI+T80MTqyK4CSwRHS/D03E
UlvRtI5A+t/RXb5DC4ttFDOs+WXxH6T/erT+o6Frgbr90Hf9+AoceuF8qxx/SMJd+k0/fAX5bFmJ
RtLm/UxFfrBFb28qUzEc9ku1jJXMGkt8bOb+Lbhy86oYTT5a5RC1FcSpjo5ZJkzWXbs8+ERTMHmy
5dnsrfINYpj2VNR2e5ETEnk7TmhdUnNJwK9scYi7vV0kYfv2rShvPK/50mFx3dvVeOVGo/lAAb9z
pf+W1E79/YeH5O+mPT8fz/jQDOOWG5iohaWt+Tmwr0J/EYGRKu6tMg+fjeXbj+Dkf6V3rG41Nh2K
D8GqSY93YwESMFc55di2RdcE7ZkRcZUuoSS+PaqbhYxzHEth34cTf6qFaf5uViVZ2Jo53sjegQ4b
1erW9sJHbAHmzo8R7adkxwQOWcz7GOfeTmqNtksH4aynsukAreXc06LTh5M+i7fCYa9oTGPf0Sjd
gxmgZWeFdNXUlG4UrbWNjt59a8fPWeUnR8sqx1cc1QA/cfy/ViiHDu5EfGnTsS0T64KMeei3XUzo
NA9lenYH/OFZm8b7VLzhZE445RDYTqgN3Gg6UDS7YkaLdNg+RvBugjljBkRsxkgY3KJQF1XwLS1H
j+QaLUR9NXmZ+TSB9PrdyxC0gVxGNQ5hCNyXml1jW8i23RNAFJ+yrtOvwyVw3SuM4dpGM9chHodR
vKnlnOynBpBwMFuRedHiTt20ncEFNRf7xexBVLaXZ1NLZ4jJY/tkybb+7kdpdGVREQc6no3zP987
n9YsWOEezmIDbSbtXr7LD67ZDw+MSQMvjAZXu0jOo3ed3xc7DZv9IxIXb924vR9Y/nLvgPd4HU1O
4C2uwingFCjfkqpkBE+OzrHu9PrJra1qzUav72qwWspf4MK9k3/hxAr7dWjsjJM8tKuM7/6qDMOl
qiXwmIBxwiwZpV0UYhJr5VI2UoNq07W14HdZrqbtQDN/WVAZojR21Rkbu9PMTYy3i5+pBnWGZzzf
fdy2VQIfOI6diUQlmLrQYML3MvPAH2h5+8QpvX0qoMPAk44pnIg9JqYGzW/8vdDTXc04n8gkRdQy
I+jeWUpBiFmpJ70bT68xbfzz5f8YEv7Qs+Tyo3/yiCh1HHPxxC2P9g+Xf6xpJkZzE17MpgL01hmu
QdZUrd0ns88nwCbOoL5utYdkige5slXlV9doLaTaeXrM9iJ4BrEnZHV49NKhemEI0UwrH3EeWCuj
CZ8xUPBhFvfRoSZAfPvffwBMpfxaDm18pmrLOPiHD1DMadsYxDNdMgdCm0oQZdRVFG1rJ8ygbRSs
M2E9sl6YDktMIW1tAy27etFD3T4ZoxO+8+wBiUau8CKUS9toZDokTSYe2zrzwofMrQkgk0WENvqf
f/eP/fjTxbfAbDN5QHlAZ/jT786xLm5ma7QvJbIKKANtG75zN4fevmmb7NGY4/k6Ua26yTDq77rc
4xOYIAAOXhUPRybbsJF9szlk9tgQf1FrD52T+zt/pIUTNAwRbmavja8QwqrbMYdhgD1xbN9hs6Hu
9+G4tOHYH/R59tCF1LO67a0xLXYuwHtgvTaisMV60/V9+GRKI9lrnuYd27gG+A0PcZu1IiLxSapn
mBHzrhmHEBWobDYzJA6PxrupfjcAuTXM+SzAa21lGptZVP5WlOl3AydXK0VRr0RaVYeMxK5nSDrN
gZpA3X48eiGpcW9NqEkSWFL+ZY+T4zirxrwg5MW0lSdgsDEwyDe9audtAvH/mTtv+N3K8mUFWS4N
IJtjHxfztYVHOl5ZDJVxdDBXm8w8fdArc8a1DAn/K2SXV1Hm5QHCljqko9kGzWJR0SwEy1LRfrKx
Bp2BLLKX/PONQJH4U9nAKugLEkHxf7NmL+Xgp7KBtRoWeTrUF/ThHTgOklNBwy9rczYqxPlhLQNX
Ll45envRllKsenFgfWBIZE3aRHl7kFrtArhLsmPNEGqkB6fHaTBoSZyvoqjYdjXKrhVPkv59GvXs
C8t/991Edv57H7uWtuawlbvrVnplTFxPQbe/6OxN7qI5Wymr4GSVCdR528yAqLWCDdXvPTS862mu
3IOy8i84vwzBb9kSsq6By4Dwp92hyZ+IckZ2+FbbbCvcX3LdlAQCKGNudxZP7d5lokvJuXyv9Be6
p1bhv9NS7H3KjOeNL6Yno6qA+ZXwyPh9kM8hfi92wB+5WROztQKHMfgr7e18zTk1PZZGou9nP5s0
FDVzvWPiJUtkgqHlB1Wfykf2gfix1Wi1reZqFKAEY8A+LWY3/HZp7UR7Sd1CyJBgNVi1spJvnD6N
C83lpcCBnHLUPRiTGnKudYNEmaathKWPExD0ONQzlrysbLlQ7djw57DreQwmac4hQ7LWskBb0SqL
oq49hLrFrjMbifguBaloQWQ4VXrSOqSEtfCnu6iLS20z4wr4nhNtHgVdzbBl8V3qgUbY2lUEJAPy
SpliRCOg6KRZaFADG+rAV6OcY4/7qZ/vkgKQAZO9RF0aass9QUR0R9t2nt9NJ/UOXj9rG5APKRRv
LEYRkyJO1qDYobDAS5eB06CxhojIXRjXVJkrFTXrDkQ6B9kq1NexmLN32rsXRNzIP2zK1nA1pm4R
ZGOan12X2EKToWfAZoCevvWn+e7jQfrfyfYXJ1t6ciY793+eAD1N+HGL6Ed59R+v+fNoq1sLQBqp
FjJpnU40B5s/RkAMzfkr2nJiQRh+DIf+nADBxEWAJBDN4alnDeNA+qe+moAZf1G6LPhj3fWY4/8X
TvtFSfLjRunpSLURWNuL2oR679PBNuxHWHNs4+c+f4ugV8nsF0eYn08woBQ/vcGiSvihimiUIMRD
8QYe+FTp5avef4mHc+yDBXz74cL/zWnpQ+Xx04fhnLSozgVLPqzsz4K8CbdMZhNAeZ3YRH4mFYch
2gNwkVDSpbX9rU1U5L3KMvQ6fccG1WozKBabGPmjLvQ6yt9YPj03IrnSkkAjd7jQ9B2Kt/732NO9
OL/qG5yA1kl3qvmQtX4SNg9eok8nxyJR/WEimgx4qX1suwTlODI2QreSsMYgayJLXnkCQ+TKxKAC
WY42OX4m4gZqmd7XEHUHegBWMbi0EEsvR7HiTCaU7948NkYVf5lU1p+ysMZhNw9TNm5hSWYiP7kd
E3BbOfOZxB97/KaVOmgijVEGwVhmE5ACbIkbYFPVfEo6H1vviOsa0IkYIsoAbKlp0qlwofTFf2RP
/2/V+MWqYXBy/8dV41COLz8uGX+84I8lw9d/M2zXZZL808TYd35zLNOhHnehyi8I1b86YZb4bUFl
YPgSnr8MjHnO/2+9gNqx1D5s1WgBeNV/s16ITwpU1iKUtaC3l7LKdMWHSvSHB3rKu24o3Ng76nWu
TloCFG8k9uSihJ2+5cUAYg2AGaDhjAQ0ZgxhehYib54R+ACtCd1WuzUiF++UrKbh1hJd+JjOtLtP
dazUq+ziJDpAfK5DVDbMQ4JazbgSYT5vQpW5jxOo67seJgRsRiJhwiN0wuxtGCb7aqh771HioWxW
cwaqEg+iYU5rooWXjjiZtb4VHwZ7yDYJR/+eHrRvc3DJhfOGy4XkNx1QHOJZsHRqeOpQhV8Ia+jn
dT9U4Xsn5vwGTfF1mvUMRiZaCBC6RP0CW3l4UlFNcOzUyncgCRV+w8heZDXKva0cuBLo+kVL5ztS
MNYaZHE+h7d3N9e0u7JIcNO5Qx6dB80EUW1VCDqi1iOxj2OvdUU7LgWGTwPdX0EnlS8zlpB9RjLi
Ble1fDYmgZ1ceLm3a11buJAqnex+MqS8YYJ2sMu+jPbxmEU7nKzeEUXjsNMJKhTrOc+d+1xGM/iH
QmbuaqKOIsKHdPN5JVOmfuvCKv23ydBVtVAjXaivC4mQuQhLWpjWxz5MSWNpDQSDZlliWq2Vf1rK
NgZXjHZwxVXe2WJ+zSBscPvL4Ob1PqKI2qea3jKVZy0O/JjqC1GrU93X2djhNPC0oDQVF8fPMLhr
VZHdwEl19ZUXzckNK2OJydJ2h694ekC79lbnnXDh4XOQ86RIyIpcnzGsE3brCEsowVpFc1NIOKex
IsRqJRwwvNaoiMDlrN0duyRfNOJSRbdeV72TezD1e72b65hAGlG+jwS+WCuwK0T6ETbUvRYNY7g9
B8rsMexVcqD7UW842CfiUBXO8FKh3r51xmZYl1Vhb31NQHwkKFRsjZLgTlJyjfEGAW2UPNY6eIfh
bta8GEusAXWm27nGEF9GUoNuc9OfjOyNb5cTBXtmE3NtOTUQb3DF+XoqgYU4bh6eo7b20QmVBAZb
3fA82iOn2ckwv0Qe74E3ek269r3VKni+BeiugDMQYsCwMBbrPkzSgic0GCiHjlNnpds2T3Meb9EE
dPpwIaXjyi2MZgXKv9y0epUHdWeE20SmS/gRoV7QEZbETJGvs9Q4mUixrkvdANJRWhfMlfts1O2r
ubJwb+gN+Td6sdg9aq57r1SVrwYLhHHhAVBeWUWtg1suJ2fdtj0s9IZ0RsBX3dHMG4xfCQNJofzx
qhdgeMY6p79j98j0ynyuTw7EwKOZ9PkFEJmFlK107J2TFN1F89u7WfJgpmXyjo3zCw1z4la99A2O
uLVOHNTsZZy0D1pvZmcOiG7QFrC6YlSs90RqsWp5OfNKv0XapzuMeEl8ktASIi8YTDz/Q5/eCqt4
9K0mC6KZB1srxT7poovjFBJ4hpEE1ANFkMT6YK/QY9CRmJ0c0bKzXO1yfKChJ9f6MPkHt7TmDf6T
YeeZiXlxKjCtLE9EYVmNfWBbzzcOh16FWK3tr23mthtywNXVlNvzk8gsi5M3tYFMmcOpSqIV6Dv3
gRZ4f6pGJ1MsUi1rigtjGnmlHWqv+qzwkcg0mm/0lKeXwje5nQfWxjRiYFvSg9/3mo+V19B8tYna
SG1DcwYHVuh5MNLvC6I4rc95D6KFXATvBBr6hekJTKIIL64Kc2Rsft1tSNmF4yG4KHcjgpJNOEPK
D5wo42qbAlsA0Ffff43jiU3EEwMedXKlFdBprbiKsTvfJK03vg06XaehSMnQ7kx9o5PRu04st982
rZd/pY7ybmXH1IMouqL7mnj21rR77UzaSHFjkKJLjHWkPyDBzt7byeqeXSOy7l0yDu7Igos2k1Hr
26yy+uth7kjx060WXR9Knw0ArIxFV8b9fWyJ8ujJVryIlltaiHq8wl5TXHtG1eKjtY2btrXT4AM6
2ubjdI+gf6G6aUZ8BkPFpBrxwlVrZ+Fel3YSDEmbrkvLY8nMohtAl8k+pkHBOKZ3PbTIngssSkRr
wB1IhyASz0c9q+Q2R0J1js0s/CKLeZR0QO32G+PQGJ2tNsRX5pC2ezgMNQZrQ33PEUjjVarmBzEI
M6jCxG2wd8eEf8Oi/FIz27iaZThegU/GQZ85esL9VssL4mXjnnrV3M5lUgG7qpENABCQT1VdtQA0
ECLKtlxCr5bVnh1dvci0zvB7WUypGDSozTiKlNOqRUo6d+URk95d94GtjRqxMGz12lmGvRMjffi2
0wfstiRqI36iX7wQZ7rS6dmJ0oWPO3+gcouFmtsb8HMnMYDSrRaqrtfB1w0X0i44A5ZgiR9jAG0A
izeSU78bwfOOikYQPNkIuhcyJ77KbN0vPF+xKKtsEL99pFXreqH+/u9U/f/DqzNpLKMH/8+n6hsZ
/xzX9K8X/Cmq1H9DF8kcECad/WE0/utI7TFHpmVN+Uw8zM/4S1SVvkszGkejyyAXxeNfNbLwfhPo
LRkwo4Lk5Rhx/osa2VgOzT+cQy0Xib1H0981cGlhqVsO3T+UyOGoAYkobPswKB2zsJnMKe3HKjza
wKgZoNpMK5jQbdEnzFsD9dvRy7rq2W919cUuvOrZcpL2SRdF+xQpIpB+uJJ/c0z+eZaNt5I4apZc
m1+QzFu0lj//dn5PqIYx+tYhGazyxZa0f6GYF1eFreg/0eKc8CgQ5tpWJd2zf35vYS6d9x+vDb0O
e8mbh6Ln0t1YGhs/XRtpZpXTxzVo7/BrXocCG3Uf+9ep35QO5HPbvTJ1KNNcJsc9KcuPvxhJE39T
czGjMW3rYV3NkzhGWdRuoIZluy4DW7lp6tK5c6XHWq961z6EkLAYEYlqa+kVTcBmoRqp3DcCa2jz
G2lO4Cgps0ALezUV4Wi47hprLEQbr6fjy1CTGNIhccxngiTTVdkmcjW3XnlyW7ZlWHL9RRZtsS2h
ibPNg4cD/Fb7IB/8kEwfEVv6k9Y02sZL3YcenTwW87mmnek6VXFuLOowTWpUCKTdDftJy0MkpPOS
gMtCuJrdcUCFjr2ObPBCAmpX09ci8XCcEx5pXNljEsLJn7onb+RMhb+c8mqlG1IN0Mw9Z4G8TNtR
oqZVPk5VzTLpOdChqi8+VKM7vY1jY40inYguGgbrsmCYvPak8jdjL5p4OwgFxTPmUbqo0Isoqeva
oadrye7BQAe5KTrkpgdEyhmnBJPiSjFkxfcrRlxogKSQgMHE9iCNdKkgptypDG1jRbM4FarRRzrn
MWYJMPGLE2a2+FoTzdrboLc08h+dBjCZ/RVzjQek2ilu06JRMMZr0hR6G7SFBWmHIF1dYVZPkmbb
dKN9O2WmtptNYohqaWJD1OMtHuGB+YLhHzhW55fZnAYSQUkpPc6IJNcecqIXCZd+P+c6HfGs6vYT
jLd525mMMMnnJIA5QDSpumCoi3ZHsodxIvdSHREp/D/2zmS3ciTN0u/SewZonAl09+KSdx40y12+
ISS5O+fJjPPT90dFRnZFolBdBfSyNol0eEh+R7N/OOc70SvZFUzrx2RsgAXZyS9r1Ic7UYvJpnhy
y1+Ga+VwORZccK2dViVEvrhlKjQsNvmxrnQy0pSrpySm0r71edrbDYm2pTM+CVmmU7NBWlUPQWRG
bRyg3KrExms68gozNqjE6shsb+j1+BOGeCk2mNJLdokNkWj6lX5Apu8MiYrm4FeDZVCG4Btb+sUk
/cLMhu/OlMb+ZbaN+n1B1toTzdlPkm9Fq9HhROga8W/Cqg0wA6K263pZaVumZ/N1oLKeiVxzWdj2
g7akT7NZz/NhhmqGyI1o9wj/DmLrkBl93BDvM1KEwsBmGefPdiWDeMxZJLAR4iroqotMxpQrVjfr
d1WDGhRyLvioT3p9nHOVPwqXQzOeEp4/bKfqDl4alIe+ZiOsGT7/Gns9knGTyH4ijUOMW/QcEYqY
wVJ08k5mbWicePRT7C6Htp6WQ4p48A0OZ/02DoZPvoM9NEOIVcz0aG/6ScMTN/UfeiZ7/ZphH9Nv
eHzNPmgQTbxLwKJ2+BWY/HWU+zzzJLAysnAxFXGO5jAyVxLS8soyD5xfkJOzlav9FBlRQZ6GZYn5
nZ5Foq/1/pTZkh+/am+LmSKUNGJB+/AdUlyBRldDvfhOrgtDPaQ46lzTNNxaJXjEA1wlbTf2lFmQ
Q2XDit4o7uYqGUi0rlNGiDDtpoc+jY07ixZdbpBIFHfs7JlYVLFT26E3D8ORWO0OveQAQ+FSatKF
YsMj4LNbNtaxIiBtuFmtXAl+ph31YaWk+0MbqnGGdyAJWSG2uhJwVCHGIV5mWLBJWnd8q4VW3xIH
pmOIJ7DeRHDaEA0RL5uPqv5QonsBK+QcB9/P7L3oQIH2DvuwUMMJTOdDBjn6aWavRHvVfgQ1Iot2
otfza2IOEfAHba4uSTFKbFb9tHIge/sT6jmW+8EUyQ6X2RZxPZNeTEzTxULQeo6SIbn07iLVpmu9
4jiharC3HvLxs0lQ+tHHsOqCu4+055x7BrgNy6IQPlBRb0RbumuYuVIeNjUDHfvcucTrktU9c/oN
TiZDzvE4sGPbouHhwFelqb79d+H4nyocBTGc/6bkCN+793/Acm7v5a//9T+uaVX9UnX3t+mq8edP
/VU9+n9YVCGujaLP/KLX/LN69F0EhSsBB2zAXzLEvzYy/h8m5aHt0l+Yfxpv/jlhNf+Aqm7a+Cp1
z/bXPc5/pXpEo/D3GmnF7bCpBt+FaIctkPgX66SZ5H7ZWaRZVrpGEluPsBUFyQQD75B2Ymq2RD5B
p6PNaeRuIorH3DpNZ/6aGJCqTcn5uGlopq4g1y2/3rTUmt+mhYHAq/AB2oajEh+xZ8QvJaVSkMaO
/W2wrO7a6nF3v2ZbRbu0ZlhJDJzmXuORvwwGh7ThPUSKHHVWVp1ZdiL7n4iskJ35oY1WBIlGtWTH
IdTsULT7VvVi5rhmL2ppF7wwhYMtEZmA2f/MlhmplaGYnzjryjsju3xWZL6wSA9NqZtB4pr925jZ
I9t6MhG0a26myCZaAIbNLue9fYqjoqRKBOSJw6eIKBMTonLiZKyWQKbZ4BwpQtVPl5X4EwAK46jc
LtkbU/azaP15i1UX8qjecmoO1Bx79jbPc27m9w66BqwL/mxeSdWJyrCbzJTIZZNQLYnSZNsJ7X1C
NLHx9KwcV6AzXqTKN7cscXy4nh7Q0yVxW5v8G009Cr2wrwNjmq0g+UEce99vQdAsfvS6lJ771Lh2
9Cy72fCOxKaCiWGibhdnQkWIPXJRqX8fRplsNTaMQe64Lq9BM2zafqpOjl8XwGxo2ysMrihYEG2D
t5vn8dz1IA/J7W7whiOzfmyrmEjpfRSjDcmFg9lTYuo2uvEwZ+NShS53APdXBBfJm6MIRn1pfG8W
E9n+wprs2S8wvYOBgRZIBg8smVcQQn3FcNHFrwbt3mJcux27wldqb/QZQVPHJLYpeMqsAFf5HqtF
xrxzGJBsu4Aji7bAaBsLi1M0MgyMqq2DG+eYDsujl0SkbyfWau1Yg2Ch8yIlqbmvEscnqbrvOHwL
Shb8ZbYxboslGgLwBA2+Jfc5n+ywtI1j3MurPXtcWFiR3LTm+lraoLfzPbj+6OTm1Y7UcfVCsNTD
RM+4kfwzu3ghyaQc5jehj6hi3TRicD0/6UWmiNaClb84bXZpS00/NjZjUmy3xokI3m6TKwGCX0uQ
nllTerLggu5GNB9nrZiXo97y1TScwnjxZ+NH1XlW0LIH2WRJpwVWlw07SvCOSYhpZkeVjh+yBthJ
JFR8bh2swgv16RZ10b4GiaOwje+sBVpGrrVhWmpkWrUamXSIhJMgTpJfwIS/uxPgbz9ioue0OnRm
S+ZwVC1vDIE3xmu/V21UOlMxZMtTl2qA8KBWbgbD5pqVbDB59Nk5QxQsN9HUNUdkD/0v8tlmGgV8
Zy5ftgPsvjB3G3gV8dId6rY9VqP91JrFY+6lF5wne58CCprh8pw6pKToyj8hm30EoXOs4KhisIfF
lPHqx/Q63mC9qLbde/N0zQyNEaXdT/hdC8za0aJoiKxXdCdsRrAIhaIsfhWWjgqqGh3G2wnDOI25
WysEwUrE2LedzSGYeldsQ5jSSjYDeDJRLnuG9aCzxtmudKPA9YeRz1ajBJAxQBmGwlmu0ZkcPFl8
krtDW2zo/snhuDz10oQZFJkZIIAuO/TAAEO+FasIun1gdLfVPJ7UUle3icysd9iFeAP7yCWwIVPa
uWkM6zE1WudUN3B3ecPkrkH79+a2yXddU8STGtPvpCvFIXZVHyAKKzZs/ubA1iL/1M+puSXi1X9g
o9UQnOz4xzxzHyNHPoxDp+84JrxznWmw5VXudN84VyAGDW40bBqzy270KwOT+5wcVt6oHTTU/kap
kjya0+QTXKQ/LlLrQisr31RsYIH3+7t5KncVA9HNlDXYdCr1qBxkaBoYz6jXs11m5jg/tNp6x8x2
A83O7cD+bsqFv0+z7rkg83ZnwAZ5GvPx2miATIlYyl5cLXuxY1hKhIe+q8X/7sTG0egBjjSib3Zl
wYw6McYdSp8juUp7wAtQYrLWwq0Vt/vRA5Rkz/bWpiRmW2M8N5ELH5WcNRzTLKrONilwt0SYjz3h
H4VKXknJYlFVLKRrEQnISbt1NH/tTlRgQpTK17O00bx7T5l7xdzyceKtg3o44BPnGPV+5FEsvhc0
2CH+cb5qGrgaA/MhFKrt0JL74xndzqYLIiQs8zbtQOgUbVWdBPlceDg3++WY1N2ha7LTkEY50wsd
bgp7eMxq2o7LrAiWyHc33mj5JRSx3vq0NN4velYgbfOiWw8Jmj8GBLK9Fn1Kotw41FtEhclHMzmY
KY3+wo5rlTIXL8IaDiAyr/4ALRlYo781ZPc0zOrWpm75OUzVwffm7xmxj9uB5+NMeZ1TY7vpeZjX
LqwUOwSDnsG2zV5uk20VgIujtgn7JRFnO7UxaWnmjM83Nt+iugcJqQuw+mQIVw2jD06moTSrexan
jM5rSWhsx73WpCMIo5rtBBoZQo77pr8YcRUFqWHQrfZ6uolM7YX5yHo9j8QF4p3TPPs26q7xiuG2
utPjZphCay4sbMbzkvWPVaZ5R1/ly2kazBeL2duHRlBETFxy1ec72x1ZGpuFGFliWfU8HLhnDSAQ
/iehefcicVOMhmP3qOzqHjQaq+dceyjnpL/Lp/Sbkqbc0WHUJ0KfvkExLZ6x4Z4MTXRbwdNbnW3t
D45XSEykYr6zr5Xb0Y4kmyoUzVkNltwpHFQZXgOakO4mSNXwRvAS4G+dHJd4GPNXAoBZDg/K++30
dhwyDsDxlJjFO7qU+ckdNbQdvfdm5iAfSq90X10ymwmBdPTAcJPsuYornS2xrvagw0tA04AqJmv9
EvGGYWudzHzXeikHss/DiyUZL2X2s5H5x6xr7qPPoOAbbjMI9n1yIyPTDueBK5t4QVEGXiqtJFga
gMyNLoszArf6kPUgvxdVxVdhFIcuj3JMbm6z7Xu/fvRKwOUct0n/oLWmd1hcp/2mLf4Bit/0PKjY
2glyMSHFLXl6qbruJ2SLT07nArSf44e9jPqXlImLU5n+vvHlHNqjlm6jxuGCSH0H1xhK1cQ29CrQ
6sy4VdhM2R3b7QU9OJLDTs2X0hr9AxrKKXST9rOIS4EQvEjFfdMMbDK8XpFxjFfb2zgdIzMSJmO4
T6WVc3kprXprgWyfY2e2dwW14Ks+wnsLCCfxiNa2ZpMVuik+qsJ2PvDyJpt26WIf+wLNqSgoGHpe
c2PF/C8whSiABxZxC6lCvR5WpnEHwgIfZzBWjChPiV+EJZVHkHgp4UJBGYlyTM4ST94uL4f4iU1y
J8WVQitAbPGKNZrB1vgTYAqAp8ZdwrJriCmJYucYVSyDl8n2mafpe961k52xo/TTATF/DaZ2svof
Q0eirLFgaqoanBp2gbJQsiIKsLMfEqvCgRut+BpPFMRDGBYpb9lwqvRxG0nzliWZ+ZIyrdsz1fXO
aVLWiIySMshd/2lekl0xtPJRMobZ6+KDdDIKpiyqt1kZvYhYEtXaGmGkWSZhi00TKhto0ZBFJ+nM
1dZtiwMzhTIoJSZ9aAgiqLUKJgzDQq+YWo6T1N7AKAXN3mLjXPLkx8g6zaHA3+keL3HpNy9TXdVb
Fx0CuRYloDHoJJnwSnyalIZFhwh5A0CTO7GojzWran8srb0Tm59F1b/UzWzfaQ72CXIPKJfteTeN
pAFA4AgbtKAbs7HlFdUqnOFFM16ZQzBTKEo0u51CEGJkXHWzZhGCjSmRpAIAjghw8aPX9SUvFxwU
zbSrFTVdWkfpz1xiaJxIiFlSPuVT4Wxm3So3zuRFL64oLm3SW8yOV5BlW/2m+FVMUNVWZEsdQDgg
utAa7iZICbsFvemLtLI0LKwe0b5V+VusJhVFt2dvZgS6V3a6bNgQkO7grrQ3x4s+dIWN1c8nZ5+M
+YQpFvK0r3CrzYVL1SMa/05vsls1zf2NuWNQ1u0YLErmGM70+WZk/kkTnh4sDl5QdxgQthDNfYGP
8bOm3yiE9obT5D1uSIUVqr/Q5s68GPluLJZjhM1hu4A/L1DReAh0gAbpF7IAmkOby/s2XUfHCcdj
Qh4AG2Z91zS0t4Mhzb3ZYRSubbExs+zsCVQw6PJOeu692CBEN2a6vE9u/xn18UddY0P2avOh765u
Hb3U7HaRIFTxD01Dld5bxZG4jiWITfeCYOa715C7AYR2n3M5bozYa25RxNxHq3SBe6d5yEaqM01l
4Oz7BXt3Dvn5lkc1M+5FuyccdmBrW04LVwJoeMZYA0eDrrGxnT1PHSWf4B+4h34ROMtnJGKilpiG
YgBuFWsavF0yos/KesvEvrxxZYF1n2qzoMCrpRtCOa0eRqbVh0GDnq9nTr7PUijLDCqlngR1zmrJ
QOYZTCOSA0w27csISO84DMlwpKrOj76bVHvLr6xdMy/xedR7ZyeJPWHUCE+i9u98r8/uq1QTv+1U
9eclSZ1TY3ryYBRzfoLWNO/s0ZLPVgWgEwXHOz18ds0rLOdRrN8tS0y0rqrjCz4QFj7CsK8CxBqM
zmnamxAMw2ygWyIYWNt1PnFMElRARKDYfqhMK4yhzkHHgNyBVicOmW1om8qEbWD1XuA0GeGZSRGR
IdA5SN7nD6/scdob7rsbF7xiFLXXqictVWbz0ZYDOaLjcBNlTVmhElLQch9miZ6GJJPCNSwJIsV7
WVEGyQVtG79e+eRn8t2JwZPycS3HnWVkFZMBI6inKdvB8y6O1I1HPNdZUBTlsFvhLVtO85m33q62
RU4QRoKheda8x55Nx55WmImLOWVvQ87WaBNZzDS5qtc4NbqF26z8M/slb9PkmRUakWvD01gBtLQf
KLTaszsrfYNiIj2o3BKBlE22yTtYjF3edidVm7/bpb/OPmadtbcwlvQmON3hvMYlFlPexhpBOjFO
xlYUBaFOoybWiXEX5q2nnUmvucdOaaCVKa+x477Wnq/21NctzD8+/tAKd5XQ9/HIvKOARhk0djLv
2GHwq7wepkna/Vrq5gFK7HVuIJjKNaI8NrdMGeizDLMKSq3EnNMlPL2CcY2pAj2ZOJVtPTokdYHf
JW9sihYSKvimQl8rCCPoO85IW8iQAvBjcLOPlHWfZ7X3U1dPR5xT5Ha37Zkj+rWJhmpn9dOWVotP
siC4uBtwcPBt0G+L6I09ZBPGKAuXrtWZR9mIxznTjh6xBMheiLhrRcWGIVmqbwAGGZuM4+jtcFw9
c3Y+GoQY8YyGjkXkSOfljQHyhSTsNOByS7PpmQiEIkrJzmVPvCFl9wPGu/+QxVjRqGb37UggjDOZ
ywsr03t3QRA8NcLA76/vOmW7bLkkoiwKZS10CKOAIudmzyV5t55ob2oxzrnnvKOIxiz03oly33fe
bznMpBt6oIkrsWSBKv2wzapAZPBtCfT53XQSaD8xhUmrJTBqWdgo4GI5+j2GKvDY3CXz2elVzAIS
AfCGU+sHfM97mXBAwwGSzhQ0uuXeIfMxTho1fYNhAQ/UONCUD+0s+Y+4yZuB+Btfb4C+qKmSYYJB
d2ydc0NsAznUAfqp1ZGHnnLHFCc+cWXZbHeEi1RNzG1/0epF7i2Fp4GlqSWPKV64e49TDaGXEtIu
KY3bxNusMazds2Y5pdqVnsJVSO77KAPm/4zaHHqEmePD6FPifX3RGpuK18iGgAFfXJt1VgEejq18
cvPuEqG3YWLx5977/7cQmpi+dYyt/uf6iz8pLjjnku5///2P6s8/x7/qdfr9tz+wdE27+aH/JefH
X6ov+NE/Ddbrf/mf/ct/zNP/XxJnVMb/oYTj/Kvq+s98/pvM+c8f+msQvwoyfA57f1UlG6go/kJj
+X+wkbWsFRvsejY4gH8KnU0fujx8X13X0S4wGv+/ln/TYQwPkhcvgwU0YP2pv57+P1QRvHJ/vhz/
jkpC/IszAlixjtJ6neeb2GiNf4XAmg50am+J4tMgkFgFJhPCh1HEy84cq26f0hOcBv2DQQtgo9ay
xg2RCz4JKUN3kG457M1WtHvgLpDO/81C4995ZLbxLxJsHhpPbrVWGA5pdvq/QrsmxdAjNzzn6JKg
V9/5KP/uvMUBwYND3gZ+15POJSzNgiQXMbQFJ6Q1gwpKFJrRT6+qxIMiwrGV22Z2S/fbQtDpbU7a
kXDxRIm3Mkk6R26LoVl2HIOaFxZ2Zuh3UHn4doWW02negcyaJeTOqji+RTFa5L/XlpvLl2Qe4gOe
fEzpgc+W8dGLVMH6zFXQYOBK+SdP9mLlb2XbSfrPLXoL8pj80TPvF+H0L8R2F7ihWlZ+OCsLWGRj
1n6U2O4IhTHpWwaLuy5IuXURa+SgWHZDRAVw6iiwc2KnZ8xnGdlXD4R0kE4Rj7tKRq/E52l7FDfy
RCUh9n1vqs9UT+SdX9pTiOLmLOL61NSOenardLoXPlk1jOC6M4bm4TRpgxam7sJkpQDidGsBXF6q
ONlpoBgQTfaiftQs/43NOvvaVNU164yCezeKGJrpvT1eNaBPD0tP9Dpmvlltx3SYLiykn/Q+ZiM7
9+lmWvzKxdrmiHjH9MT6oENniNskCpKqjVyuN/XUedRBlz8OaWXSIHrlvT0sLmZ5U4r8io5SmS9Z
LBnX4f2n+Gq3KGsNGupifJ51fcKra1bHCa3NnlKl2jUsRvJASIeLAM30ajIVh8mMmi03EhXporcM
6Jv6iPB5DIiudh541duz5+RylwGOOMVY0E++cLxTwrojDqNKL75j5lbPtYvStkVcw3Ct19B3q3S5
mZUxXcxBd3+SHuDsrKhrt1jJIVFAAg0K4OxbI607hx56sHZLi1GTKqhJ3nM+9hiK5RR0fNKYOjBI
1t1hvOEBZto3qn5bWKkPGyoptp22wMEdmZcuVWfigi+Z3+iLsYllmvCRZpUU7UY0kbAcW8v5bvNL
Am0qNHbUfr+1oTO/kyVAD57N8y/mGNG1JREw9KZJHqzGgobXIZl+U8YMHCOCZnTE2sP6t/5aBS9f
a+Hha0WMeIGNhfG1Okb+yhpZXzfKxddymaWN9mxPiCnY36/b53UP7Td2bW8nXsfj8LWoLhklXGJE
uWdaIF498g4WpEyr+H6gzZ4NO9sQmWp9lqM1OtBS2YgvY1Nd/IKFEwb7Nl+TgiMcwmzRja+FOihx
lutxsS7aEfmydEe1PT64lZ7aVHq1c8w7+eIn4/LhDsu0jUZlHf11i48Cn4V+s+72OQnHNzKRWPiD
q2D5X34JAfIvUUA8rgKBetUKVJHr96H9JSGov+QE4OKsI2ZVRAYlfppsI77EB/OXEAFBxXCsv+QJ
KGNZ/WSrasH+EjAMq5YBEtz44Ehyo5hIr2KHuVLFHZSIZg/NgFkXqlWEEfJLJNGsegmH4wCkpl+Q
R8jy8DXqqpZoHlapdNqGecUG116YtcJLc03QaSQ11M9uTWhAKPrUCtHZtBeHz6i/lSt6DQ2PvI5G
klAnj/kLZU31jJ5IoM7ty7BsUB5wPHP42irPP7MYWyjmgZX2hhvAuWf1UmjfCTddVpwXaDjDXClx
7hcxLm4kAHRrBcnJxWxPcylGhGgJ+MAVOCc60HNotcNFc9jOxCuYTjdWRh1yHeuc+KSqoiCTT7ZZ
Q7ODsp88CNswvtVDmT66DPTFQUkV32MKbIgimjvmzgwQ1Y8ahzRbWqLB7L1cMXrRCtRLID+zuBPT
cO28coDuKEabgGtEb8h6kP7CmlnxfPag+OeKuBt+c777j76WjLvWddQP5uz8E7GvLxdUMiZJK+y5
ZG5M23YEC8jZMB0ZQ0ffhxUaiJCJpd2wogRzIFlMQeoVE7ZGdfpfvMHMbt2L+KIQurOxEgkVcEIo
YAh4h67tz53nOF9vG9765FzqUsNnYPIkB+FuVeJ8ZiY8rdGzWKK1k/magkU7st5w730zQWQELdFo
V24iLlzzbtKaC0Y+jhy7uMSzF4FSBCTjstB2bI3APVFqbLIYeTeNld1mu3b3Vq01/MAyGXcgDqAA
jivR0V7ZjobRG2woZrBukv/BXKj9ICGhfZCGOZ0tu2X1qdD9vVm2P3wOK0UyR5oQyrKmX6Yu+aB+
rz/5lNoEeX9BKK0vICUCqOSialr7DdepPJveyre0TdbpAeNQ19rSO89WCCDBN3ezRJgUTrDwXp2s
66ptu5IyrS9o5uyvAM0YnEnERnoFa3ZfkE0vccf3SnkrAe8Lw9mvRM50ZXOipODtSt4BWQ93Gt7r
x1l3nvIpsvfZF9zTtCQcwAo2wZUNJ/hPCFzMP5kTgKJM6h/kWnS7rocYCkKT94vQUkCimplVP0y7
LfmdcEaNlTiKs4fZgrtySL1WiYtCH8S3SMEpjb+QpdRd4EsLr0OF7rpG/o6j7k1pgkTQWazT1sxv
ThnQRXfDt44BnQn+M0GkEBEuCE2+fBwTvbvVWTY/WI5IYRYOOlNKJTDvSGSG0IDUY+yPXNa2Z18T
u07gnPIVu6RIjO0QBhrks9FKTTI3SwtA4RqGGuFc+Ryzqf3wQKmj/Vw0/+RaalwLTNuQDOMJUJnF
0iFYG+VCJ+q4NYij3rl0CBQZvJPEzphPWwgMdrNsuLRiQTM4co5kgazQPASUJ/Kbkbmz9jCYjLH3
PZc+2JkauLnOZyDaohtwTkMmVz1VmlbtIW95PcNpjJKIq9Wi/qoL03uaJmGFdeuyGibawjl7Mueg
TXyz2Xu1U2RXkh3yKeBoL6FJetOrBHr1iATU/dGS3LevHfCTJMPk2qclIo38E7et9q2SNH44VHVz
bTC5MlpUW/u0bMQ9vJykPEHh8DHhus1vv9KtNCj0mHW7lxV6gBpS2yizJ1N0As1pdmfHmw2cZ/8t
sPpPCaxorpBs/wfK/Lx4hw76d33Vnz/0l3vV+sMy8bmjkxKrWdSns/rL8K6bf+i647i2a6Br+lLG
/0NfZbrr35Di8I9W8C/esfkH3xabhSqegfXn/kvKfNsWf5dW0S+aAGHQ5/MIBOjjf5GfyyFfQ6q4
Kiyie0OTPVOXDN3OLDvvwUZoXR8B23JPd1gAyQumJmYLicP6Z4GnoKYIR2G5MLgq/TTaa4SHyed+
bouzxxobCqZTyR+EgblvNiwTiuEYfc6YGaGv5RJ1a5qWJ1gZ+c7J/SHshqy6ZE2r1W9V0tSIavsG
I9MsmKkRIkswtcESHPWP/zakXLUHT2eKJbt2dtAETb13T9XnhkBckwsSx87amkQ/VAGYNw/hb6cl
33tZqPJQyzqHJwM8g1PE1nFE7bSiJC8XGWWKwArtkGeOtyKxALDtvLZYmlutFE8XtqbEylvNmRUd
OuWYcsLE1upaSTC2ZXsFwggS1e0QaxIeRA8KB11ohC+9w7A1l/3I9hus+4iHdgA4JxJiiD5Js1fj
ss0TaPvolSplQ6yrsprVYdlzJK6Ozopzs/IMBmVT51vkWyceVboI7ayhC8odkKyknjGFS9ycWX9P
mfNzieZ5dVp1ZTzb4RDXKcwpOoN4b3ALyZtbdms8XCXvdY5+MrA1k5mVhTJEJRWYF23Yxyxcn3JS
e9MNQzhKEFGND7S39s7xV3hek+XbseiLYM7nJExr1e4Gr8wv3KTmvlZWyQ6p6/d5NbSEaVU1aPah
6I/ewG3Vs/0qy4rkNCeJ72j72Y0nBa2nFeeh1SEIzwiqPiCEiB5kSahoVGmwWvOIkfCiDc1dkTkv
TGPjBzht6p65q/tQNPnwlpQeeb2+YG/WJNMDn4d6NwMSRHo8Rfdkcs3fSLfSjGDsEX9ELlc6E1CX
VK48ek2ayTxMiaNRwqHy2Sip+UzipXmJAD2h+NPI9xXguOfXZl0duVHhvLSOqJ7UjMIDom2C/djO
GGUHaSndKSDUbDlW0nBg87EFYxNcdccRB8R+LPL41aQmPvs0rM1GNPb4zEgOfI4H/S0Le7yKv8Vo
4TQwXeDXm7iuqi2jyWWDldW+p313j3K0nzOQPCrrSTIlq5hKcIZMhRB5KapNJIGG93FsnMU0ETpl
4TDoMlQKm75QUBoLp3qVDCT3A2P2D+r3b6KVQ9AVnnfinS6J7aZAmFXjXZe5mB4iRyUnVhnymTZ3
+Y7ltGRjNk7GZ1ZL/UyXSevStqZ7GovJ31lZ82vw2+ggbPpm8I3EhzC1JbjQ67/jGS2+zSjYv5kj
MPDAbr38Wwsuhj0D3zBH6+Reh2e5ZWvW7dLGOY81A2B4VMU+Y+t8V/mVfRonFhJkYeQgLvhZ7U5k
q8cPbjUcMQII7qsomxhYNIj56zg3+RSzO0lsbyo2aaepEEXJDDy3b6BhYxTkdemokopVz6Izxlfj
qdZ9sEBYA14tVzPvOk2+MDl5yhrN/TnZNW04Ybc4OO0ROWxgNEv27MrMotCeo4veIWNnoELwZxof
fUu515l5Dl+NXj0thVcAWNfrT6fX2W6MS31vEsr60Y41TCyhrcbUcmzOcRZbL3GCLMdpWXrBqW6Z
ti9+fLUM0b91zMQJYojXqGkWjrkQeAknCZKqid8VzsxfBVKYQA3thUzkcWuDHwuToTe/G1gnDqbm
GkyOx3G+GMCIQ4sRPqvbzkCJk0P/uIl2ontEvp4ww/bqhzxTq3ClEyTy9ZMgBiOtCOeIMPJukpKa
7mAk3fRYj5YiyToezaehi7yPfCxJZe7T3jADryDOj2HS/Gjhe7/UQ2W/Myivz/5KMURILjjnet0E
8ojWl/0BVkQmGJZ+ZYwqnmehqZsbr8nLcW+OoTDtFcSWJkeAZQOwy1l4F00Y9U2lKucjatdBp0+f
SCqqR4Bs8zEGoBnwS7HpZpE62nnj7ztS6i6EnaDB8Brv06ql/bvWrJ9p0xoX4Q6qI20PVxRV5baV
mcaXXMuvWOe9q2/m+SXRkWbhWvpMdIMgaZ3hhjVNL7Uun5jL64EnZEKFiEUj7Z2EHGNh7/V08R9a
IWtid4yEFkaNirw2FCf5ELOwSaNQVlJ8S1vb2mexre/4vn9mS+U9toYag4QRynPsCk4QiGunMcvL
rZSRXVztmiw9W1XDta70+MB0FvGeU6I8tISoH/jklmGl++N9iqv9J80RqxoD4v0d/n7vNaatOPEI
59BgdBLUdkNpXeR2eV9GGuoPUHZHQYZ8oCsdPpfS04sGiRqSRFXvux7wJMum7s2QMgkLj/y9wc1/
dKitsxbNz8L1eEFpGOM5p+K/t7wW172qAY2XiRHM5qR+C2LqMLHO/VOmOwQCWiPB2THWMstD1GYS
g/i0RmXfHN3t9qNvYnaFdng3xJkptpAFV6GsUaLNk4l2HPszAtIksCvkpLpV/Ginsd/FI353lMeC
xHcGqBx7PxKv+CXzVB1NjB8QY3L4jjb/LwJetJlt2zkQGqwf9aywwiFl3UQGq8DLr2WfPqZqzs5E
23cAtjeWioqHDEDqyVDAz5sua1E8x8iB2sI/mFatdv+HvTNpjhtJt+x/6T3K4BgcwKI3MSIiOIVI
kZI2MEqiMM8zfn0fsLLeI4PRwc603rRZm1WlWVZlygOAw+H+ffeeaw3svJQ+N7d457sDfH66eskA
kAFltbKCitbQYcy7tU7o66/G7MlcR2xFhjKynTGQLuQc1HjmNYC/ws2MlMN/4WibXJi/SrU4tq3N
1iGkEWtE05YlWqFOoXwjWI3GeiDDTRhP7DASKp2xmt9YRXW0Zr1UDc2sT9uFmsb9bMoCiw0nLMrB
j2RVgZYPHspChhkJ9Hjp4cj7G88gExaIxxenHvptIlvHNcbIJ98uPVLpvqO/E5B0iZptQrmylMlI
Em0rVpyIkm3dICxoJhzrBrHJtLJasc06nROsYum3Cs3lBWu79dAYWujSg8uppouX0pPK2hwjHPsp
1QctpE7TeZRL6Ii3x14TmObTsVwTiZZReFNALHTZUSpoEBzCaxad2WJ5dIp2N1ADcKPMJ+USQuk+
pbGUhOYPw7O+/v+z1P/JWQrEh3GxRXb9HGYv7/pj//43/jpISfkvR5cmfW/NlPa7gxTBzLR/LIMn
PtuV51iZ//hUrH+x7+bbBSlZs8n25jT3HxIQhy+wQiacbeGonNmsv9MgY4jinZGX9Dtd5c8BX0aD
bE6ifmvkHR3ibppRmVwkBaPDlLzGif/mZHmu0/VhCLg7nP1ILeMn09Z7PwQIzQQotjO5RKXTGLYX
eL0g6HFL/+v8+g9GmS/0jVsbtMgwmAGjWNmPWvmRDy+N+VnL7pMLOYGgYT4wqFswRDux1hzhb5fT
z8tXMf8R7x4HtF/c8NIhKRvz+WkwqKSCnXUKkpyez8qiUxx/GRb5MU3LLRbvdHt5tA8P/3W0V8MT
53U546be3jNrMIeGGmeFhtc3qb3ylzC1hnXiF8nq7w8F0g1K3uxYN06bnWoti0EbBBcW2P7DQBbv
wo86ca02gHAuD3XCqpvDnmhHW6CtZj8XUd3vrwp8mjomOkNlqJ+u4qSJXYlmaOkN07Ao/SHdAsIY
/+7cYNC5FKFjL+PMdzqoGXpCU8hhcceYu6gZ/EVWtrHAY/yZ+/5D33geipgnLDlktnOYf399sa4U
U1EolYuoGRVR4hEhppR2tIs1uoLkNZR37CGHRZxMwXWbDMMn93eeFadzFDgfyxYoMpamk1kz+kYR
qLFfu3YKaB0LgbGQZf/18kM8xRvMDxHsAE48dV4iZ9zi26k5CKTFjaNVbtOUYmv1GIsReOreTaKp
kzuN4IW6FnhNXtEPvDz0ufmjw2XTZkD9DJ94PzRMwkH4ml651PLHdaEToERHHtGRpahExOh+gPIy
aLz15WFhen98++mYGVwsRAw2strJna0ThSgppLbQXbPqV25J9LmhCm/d6ll1TI8sLUKJPDgxaIwp
bLSbodZ5BNEgtuPQ9duwqKpHLZh0sQynOlpVjXXUzLQzOTIN/ZVTsW/KvUpd6Q1aVwFa/D5UNfir
VtpGGOeQQluRFR2IsrSWdl78IC+GFCK7JkVLdG6LDpbGZ6AuFNrEGGSt4DopCsRxZZuzqeIMJKs2
2gVqYh2Q7srvSgptijPrGFyrpSIP9Erp02KQWQeKSWiNn7ZM1KFJVjTU26vWQUwLdxeCZcFeOrLK
X1JLrb0XpvraVqBG1NaUbg2tvjJirflKyrZx7D22XEprJetcr6KdkXKgTVphbOqYNdRCinVtqxwt
IlDcCxah7otuNfwhsd1cIZLiCM2WnhyIsRbXHgFqbo5waunnbXD0oq7/5TREBHWT3tZL6Q1Mgw7d
AeWUlz6T3regIN9lBTx6+ip7aeok9oiXqhpIzjVro/mjcDALlkOUNI8QHOxgM8jGOHa0zZfWfINN
QJc5J3Tsas0cGjaakqaj11yBhtPBR0LDX3vQayC31QTtECNl0d+IlBvO1S8NGMtFPzazF3P4akza
iwMN7/uggXAyWiX81sRQzdQRONmiCniRst54mZq8chZBX05uVLJiREnBQzC9qXlsVf68dOB3RMio
9qlj1o/hPPXRaVuHFInHdZH23lo3K6QXnH7APmnRzs/0buVU2Fjp2apbmuUTNQUpfSAao4clG4wn
CRu2TzSFobnIQxhAmyAylBHnn9SO3ciMunsY8e19A8JoOVXsxZHghjhTfbpHauLFe5u1l+Z63q6x
mRu3tsPtxBYrvFVaFdpKY9t00/ROFO0iTaaI6cqwRFUWCjSHwFK+0Gz3j6MfqvcRTpKBokVo3qIC
jLaBDyFUGJX3E4Emrd5BU7wbrXdQK8aBZbVzJxXAhecZt/C7tRWKQblEgWnsx6Iqr0oF9LFIp25H
eVHeeYqubGn86XeWSP2r3jAfvbREfU5nlvaW2aluG5RSw4nYUCnAxDAQZBp4PxuSmVCJ9Hmz0KlK
b/MxsP8YUWz/UXyvWdakFh0qIBg/A0cVa7+lkgoU1VbXSt1gVcid+X54ML9WYhowyNbcyboj0B54
g+qKWoxuiqL1KvF940GlprX2RhuQkg7dakuAdbVF/9t/szWvo9FvBkc1LVUOjdDL5iMxabxWCHcj
JePll4gB7pUcXm5afeifKxD9yHN95xYpgP6QOA1RpMglYDWUwjz0mj/ecSieNrTE7TtYA9nzGJj9
sRqJYhiwT94MdSmvUM2PM/LCPMQFSQSiNAmPGBt5X1A555g1gn3oFbtbmiqhKWhB58Ur0bzmWE2q
lS2ILostQreluaIYjhbZ69U/BpbFdBEkeXBPiTD6TVW/dkXHIhQTObBlapirAdTOphiLetvkPdFr
dRHWKzaUtFpVozwkvaQjHuRl8DBpKd1Iv6OPyksT4Fh0LKQYVjbt+bX+gwZSek9duTygtppjlz28
Y5HMVFKg0sjZQTwyN3Qk5coyfGdn1k6+AVKD+UudlU1BDI88kzpzwp7pQhwQmjVJXdVOqUgUB8dg
jxsafArZz62HxEbFQ9LBz0YolLPB0Wjg3WVsAn72ZdOwjHXxMQFDtg0ilbBXVoEfYehM67yzLJew
pu7FUrNpgyDePGiZyLZ9HlKptpWoeK7jXPxEAENhN6FT8qcm5PRx5JB8i7QP09T8j2uZNLHOoOsc
Bx+d8WRa/S0J80Rn2CN+TzsmlIE5/BpwSIFO4F0GUs6Q4VRAJgL2jVp/nNkdetKoP2PEz08WvotV
R148Hq9KV9DMy/E6K+iNatgZvxjZ4H2PjCB/7MI03b6GYmBs89bhJFS+1TPFrlTJ4xjaeC/z9hm9
YbOzLWnH1NwiUBke2BI+7yiBx6q7cRpcpP/OPqgwMpFejEJCKLP/ZxT54GLWpb9vFwJtMUYlyN92
l+7hZcI+t3LZUDCKpgl3+exPVYH4uk4Yy3uBGuhbU3fTMTRqHl0xBxKYhQ2UvZ/DFrDrMCzIMm8/
EESwEJS8l/RWlYcilH0/c1MawvAAmMNSISMm0YPfjuCfjmkh3KeVNA+eyJ2tL+t6hbIJuUDJfnPL
QRS7WqHEjz2urG1GWMr9DJtfm0YFqxyJwNaPcWsR1DK5YIgQukUWCQjSUta6AGeeOzU9XQ8AnF6N
xrNIy2SdFUxwCmvxHqt3uCS/G/yfoWYvEd/wnVar9QNO1emRieTfyUDxCeVunfssSgmeMWospFWR
be1Kl98azqJ4NULNg96fsRWv04y8bE8Z7mC645pR1O6lyzzlK5gAbzk1wHpWNpm4/35OMZzjP6PK
jx0Mvd+oRiFuzDBRHnwIcXfoTMZ9lGjtWjGH8HvW1vbRybthoyDee9Lb0XjqKsV4Im15vOFLJTeI
j5XVGIbKSimMwLU8nJaTr1Rf8iDN1lqVpWtSR4eb17vemMSR5LVt32pzwB4VQz58dXSg/iswWYCV
z1qUQDkTcUOFXT0g2s/WmRM1u3Rs9HVBBOQScpLBS2w5477VxuTWs4W/EyhJaHrNAS+TLaYjSeL4
Xyk1HCYiz26oonnrNLF8MBLIhrDfZ/GtWkbpTo6D/OZ4qL8aTzVMgvD4GCIy4PFP5XQd1/l0LRDB
AOtx9HSpjnHAEijEl0AJf9IQGm5YFMadVnjZrVVNE/0wk3g1Wifjo4oYwlzAIYwwwI1U/UTsXCUA
UnExWNEtwXdIKHQtxiefmgcYBAgusTfiKiuG29Kq+XTjSoGEWuZ0boYpteKVRuoJ/kkROGu+Td2O
aieSBs+oi2vIA5lYko6RP7T5kG1aFhz2QJmFqtPQmtsSWciyaiVt1SCZaEeIYk8pbVbtk0JDaGqm
PNSvOVzIm9gxG1hFE6qqJPPUvJqNibkCbw+GVbubWU7FHBsisuRRbZlOaTGxrXZC8VP1jfHaSNGd
Gn1PHgTk8RbYKxFHCqXRfVDzYoYosQjb6KdjFVvWXvbGuLabsQLXqnUFSpSOVPDUkUgtmm5msGW1
Ph1V3OcBYpgk50DK3zzQxPFx86GRvGobBa4o/+gdZeAZVjbRf6oJ9NyGqj7taHZKQrrD7XxFt1Yw
aMvJMYMbYlDI4mjD9F4bYurMdpStp+K1lJtDu9BNSAUjkesR34byHkrkiNgrVA6+1921SIexJwM9
6iPlxSZ8i/jy7Jve4hZNIppAXEa8StScldP062pj21W/pl+jbT0v7MAFeM2BxMiqhRmsWmt2iMG+
mExQzcF4pxUzMamW6S8rU37Vk3k7aLW+0YY+nfdt5Q4ZkoZRIXzo8wDeh43Ll9UK/wNpKEI1spXv
cbyj5/ZNyUDYNpGOuyGsS29l9zOWWq+alWrTDs7MgqRfC1MEBkjszYtWkwYrdnY9FN51kQU+AUc+
cIowyYk307t2O9Fn++G3nenGg0joTLZDtx6w/N8XsE/wnPpqCYZFCw5BJIu7LIuLb4qPKZqvOq56
pWh/FZ0l7y0BBY4+QRHv2m6c9lrowKaAYuAqAarmVe6XBk2CarqLfFndF6BV113aWhDuhipdyUnK
9QAhZOnBpdgmhORusKBTjVOTcI/EecRB15AyVU3pQdDrdtEjm0616nMfdsDGxnoRH+rsJ9t78Z1s
OvtaOG2jLivNzI9dGeFY1PK2v/Mm2h7NGDjbSAnqTWO3vIppqtIoQ9+HIqHiKa6Qef00AgM/YAc9
+dbA4H/MzCbftOFYfZcV+ysEyYF2MxJ6/h1ltLWPEUM+eaOlerTKW/1Rnb+QUqTYVwI7cIcsaw9B
aBvXQVo3T4h4TReIar+HLN4demWMfzVGRNhUIHi4edt4d51VpL/TGk51J4XxXNdRjoIPAfZexJpx
VTWcwKXCARsCW4ZpKqyNdj0qjfFVh9a2jj1TxHNqbHCTK+NL3Fn2Ny23MuzQk730/WTamHUSLaOO
hhh7vIlPISlT7aIlLXQlx4qVLEoiNyq6hOw5iyZRwtd2P3KqWOUwM3Ae2Su/LqZVHaYPShKSu4tS
wmeVX1CztVeZM3IoFsVTpUfE1cuE6gVWmxLlLDvjbe7I9IEeVn7VTIm2o+fFVoqQmtHz6aLFhd0q
rl73SupyXJLKy9gkLeIwcMGilfZjo+C84txpbznFgH9RQu9roivNFR/FhG5FFT0PQs+/RmVcfiva
YrC2hWKOAmRYGcbbLp+jO4nbpQWiNNkRGVCf4UIMhx8oZQgKb6serIHWvtBj6uH02eJqcOzsoLOz
/ZUVRHSOwApXUolvphzHH0IuBYBjbJXLnkd1RcwV7WiUcc0NhUD/hrY2DjWYXfWa5IfyGkaIt6wr
YMi8/7+BDtO75ptGWjISP6yTzbR38rq9i1WKDIafBI9DVet8uGh2CZh0x7rQ85+UwX4YUd3/MMbh
fmpJudlYEnGekvViG5UTK3uh6HAL2uTenhvxyyAoqy+mipYGYFG9kUGrYozoWixdgYHANDe2dJas
Ky0mfXkRV621CwgrdQnu9X9i1iDGgZUQHaaCqt8frAeOOnxPfCf94ZEDtCp858kYjP6gFkJDrCI1
7Mllc2+Exm8rsenvUdT66YO52XQxImHu2xhdO87Ub7sK6LkD6HiLq2GoqK9wU3TPerK6wHgIuxyJ
fhvywlZ4DKGmdEtaaM7GVMxtowfaHWeQRxbk+HYoJrmH8UgTvG8kSKXMe86dGG5a1duUCQGe4H5E
Ug+HBEt/xe4WI0q5BFuQfcmQ4rPDBZeQps2uscf06IWKvLNK1cdaIbUbEXT6H+EjT8qjvlhX8Oj2
HkT2WzA0wVVixua9UURO5i/HCej+94hmohcAzEtZbtcdIM/V1Azq0fNaCUq8aJd5E+fbEXHsfcOK
Ozt4i7WDKGFbJe2D3xK7O1iq3Ot+Pm6bvvpBbKblRsBxlj0bwT0LqeKmutNdsZVDu0F+1Q18yZj9
b579aSHyYJ1uip96GcEJtJu25AhAVsfPHN6kehBF6x1gb6JZUcKeyVZrDy3EGpzA6KGcmzCpfNyh
YFOIoa/ywtyUGWVkuu+Vc5ONVfKQpU62SM3R2QZhPbtanfRBajUUr4Ym5MRWpSr1aq9O/S/L5NSA
8zelJW1ySCo7CKEijnZp6ND2rYWrYDXf8/6DzEzlY+qzNzY8uP/sCpMV5Y5fNRmIKwwzHg5hvq9j
37vALJ4tjiBDNF0hyMBEnEgqZ5SJlNYWvwwn6Q9GDvFKlkQS4fSpbn1PuB18sD+B1M07U1W0Yz04
f8rBUB59Xr2vmmbR+zbrHMilUw3eqrYhK8F9zLeqM7T4OspsJRsfuz7Mqk8iDz9WQSn9GriiDErc
qGxpfb0t/eq1I3MrpP5qlYR1ibT7Cnl8cn3J6dYBJfoPKvc6zRaSOW3DFq+JpW8aR35VqkKxR4ar
G/Oh1MotJwD07OQUfNJueSW+nVbOMbZpBttwG+vXaWV5mv4qasup7X/Vr0X60Wt/g0SHQVEn4pq6
krqV9qQ+B958ouypx10uM5+r3pNTJLFa6pphf+geWHoz9b5aubrlG0cTy8F14VMnvTzKuc4Sj3Cu
YSMH1V4r3W9uqkGSWGuk9GBe2yGwIKhHOuOwEOiqPnl+5y7IgPc0Y/10WozzT3kzVDy0GVaxns5S
X2J96fMfpMX+uHw5n41x0lIKzUbD/88cEVpzPcHJMOz0eHmIs5OD+YfHiqloWh8mBxKMvtKayi34
gF37rarttRw869T14TdUjUzJrMMtX1FrRSau7mwPaf/lH/Hx1dNV1aSOyvuHuPa0AWGYRasrOamp
vgD02mDeWkJuL68SBQEIMqNsdXm8j/eV8SybJCzN1IR1+u6BRFNtdHqlm2YDq5Qcj/ivrE/Wk49z
UaeHjv+U+g5cyA+kbF80BMInJdRFotvhYUOWKborK6KgeflyzozERdjQJVE7zyLo91PRgcY8jaOd
uyxtqIaU+qCP1kNRRY+XxznzmIRl4GzlWbFyGXMH682Ul0Ua605l5e4UQpNLnhUbIkmcLUNCRi+P
9NGkauOIfTPUSbORg6qEY8xQbedQvcsMH50xhLvFgARmXXbZ9HUkwmKLO9hDG2009kqtSu876HZl
3UxaAyTGokpYc5ZOK1LEqB5P8d60owKj56DsAA9M117CZtAoM8SdPiVjNlfNOtGaqNlbHZmSfd5S
xhpbmSw5a+MJk+H0yYUaJ5Jyusa0MinuY0km+M887fqRyKHoTtZyT+ugeXLSDO1gZ38ZpQyfUzDF
+zZJaKIkBLYOyLCtGHs+hJWdlCSZQEpailkcprVfU4/dUQMFL8vTL0WP/BRS8CLN43JdQw8GzQ7W
xKsiHQtjn2Me6chqQZ/bLgcjN1waXP2qaWwNFGIcrTjHW1cxsmIeMD6PgfV65fjQWix/WBn0bR3u
ljarG6da/Wnhe/nko3VmrmkOzUgULKRhaKcBuF7aAcQkoAbtElk1HV6BHU99cP2owkEIQa93L0+5
j51fXYenTUy2g+yFhKz3k7vMDVBhRZqDNGswFoY5ycz4T66kXjRbGObNVUD95QGDqH+4PPKZ15e2
NsYGDS3OR/FF5Y+dErQycznrjt86Qit+lBR9H0who5fLQ525SLq8rEYcePjvaQ+d5gibzrHN3LSr
KI1iToeSMSfDKFFW7STZ2PaypssG0V6jcnd58DPXyb6K8C8VPjVSgpNtiBX7IEhQZLu1R5Zp2ZOz
CVB7SUJ89cn35ONIxrxICQuFkeWgMHz/LDkI1j5hOYmr2fbTOBJ4r5HrzVuk6397mrLdQDCFMAoZ
hipPrqnAqN36XQtqSrQQaCXVFz267XtTIhSUv//uDTRIEsSyL0AU0NM9maJ+mBSZkcC1oreuu0ox
ZjmNBAq7NVze+pN7+PEFZDC2NmwNTLpap58vtLMikG3KlSnGQ6ArT+Vk/44G/cHv5Sd7kPm78X5/
ylDocySXxpr/msz45rtCeFY4ZgrdWL1I0G1mOMzIBLcSWDtT1kH2QL99+U6eH9FhK0oWJi/d6efF
KCwbImLslqLbx07xnI/iQa/ictEGuAeCVru6POC5GcnGW3/ddTDiyYw0a84dDXxJV2nb/Zh0GAti
ksjUT4b5uLExVJO8bUMHNsTNnP//N3eys9UhDPmjoTlpyoNi4Y0E66isL1/Mx1WEUUAsQXmYs0Bm
ksfbUQASDsR9CVjOOsdajnvLJGr/WJk8RmVDV400eH3MP1kltY9fSkZl4QDPjOdHnr5qhD81DvqX
2HVM/KR9AhNvmRXxdD04tOpQd8Oqh1ekEZplxMQyT0DbMnzx22Yo/R1JmcmGTLSHaTTnFAtEyn5R
sDmYtwUlyL8D2hj51dF66ZL+a37y688+mDlckY6A7eCLfn/L6EsGGKR4dSlRZetodKK9MlDsuPxg
zs4ydJUI+h1IrafvbGqUfEb8PHGJ18CEmXeuGosH22o+27WceWFNgqdRVUoyYE4ngGklelaUGQvR
UOh0s70AIIQ6bC5fzbkVSLIFsAHqSlRfH+6Zqg0gdmIUBDXYDovP1GAS5lzXyc8uwth5ebhzN49L
IhnIAk4Dxf39I7IJesA4zis6xt7v+d5VoTymlfd0eZhzL8/MXrGQ5HIwOJ3GQx0DVsp5eZBL23fx
KKize+ZvKq75pvJN+1efFNEOFctfcar/WybNuTUPRazBvhrJ4IdDD/UTNdCNLnYxN902mfI8Rdj6
oscimu5ZrreXL/PchOfYozHZ53ji07uZcI2WLOrYLfwi3qbShH+jRcrq8iji3BzhJloanyMdmfPJ
uuq02gDptIxdu+3VxxA7yYbIRUQpRNAnFOit/iu8xnzZ5k13W45ZDALP0reBjbBrGgtJd4kQMlF6
sD96m6Zs20afnW7F2TtvccLmzdRhFZ2sl5VXq2afpnxtBoNaYVM+i8bJsWzA7wst+4kISNKEyNi7
SjIIoXHfkT7u5D8C2rrEWjb7AqrkjiqSs5AjDiMn4Dou38gz95HGFltQyyKfgP3h+8mfWPyGcGC7
DQD/dzGJZqMWKKqwYzj5+Hx5rDO3Q7wKDYmQQil7uo3RBBgZw27Y2nvit0rBAeC6+lyPMPYsJ5tj
4mTzyQ7jzEsnBGV7djR8sT7om7sqGYfKz7m8yPwWhL6y1GjdU8yspoWujeXXsupnB0nWuX//WoVA
zklFig3i6UppEHcI6r7OXc5qN6XsK+S5CflJkgRb3IyjTU7C5RHPPUm2bJQB4Dw5LGXvnyTvSt/U
Rpm7igp2GtwHrUniB4596aRuilv0k/HOLJtcIHso/NAIV1/f0DdbjtSD6hvm3Nqh85FwGxX2lzIv
VzqyuH8ylIMJ25ZsGO3Tj2hhGWGTZhzRhJNnd3BdYDFajTyErRCfLF/n5qjOCzX7EGbJs/b+Lnbo
YrKJyoBbp+1DG+Qvplk+4Dsm/8Yvj2QXNH//68MCoWqaCS2M4srJYxMDBXetnjJ30sBmqlb/pWqr
VUEd4JOBzizMaIvJlNepPGPjmJ/nm+dVTD0yEI8jYOKbZCINW5zRD5en4JyFd7qhfzfG6aqskDls
GIyBqlcsgEQU+9qszS9aKz383VglQ1/tsX9WUHtl5H/N+wqUhknDhny5mOJfq6wrXFjL3CCLUQEY
sAaTmrih3lT7yTCCo+bgG87GzvvuFWq2TWsUGpxuAd0TTL7DrYpaWx2GO1CPCPYAZ4gvk5OiuMgE
7sY8rbHKdqXncIAa/FvYEOwO85BAZ9BDt8FgBVtR1eMugfh50+lBet1BA3ft2HkI87hecoexY1Mr
IqgItZCLQgneej8Va68NTBSDcX+VG8Ck+zBqN5dv77m5yVccIy8WCvoUJ3NTlnXZjJK5iVbwuRya
Zxs0qKErcAjytYc37h+8duy52exRvkcZfzIeXM6s1P0xc6EDzTWnm16Ld32TfbJ5/egvMGaugk7h
jxqBdE6GMYY4ABDgECqsxseiCOeULxv76Vc6Udd0pZetqf3wq+yTI9NpJDkVuHlcqrTcUQ7Xpxsy
p0hLaEsmNRGs598CkoUXdmUoR9TuarKmcc4ZpzRTb93EXblK4N/R4cpYyEut25lIfc2oV3a62iob
Qe7O0kMdxoQrthg/aGM50U9TwDzqB/RAsTVBSG6EpPYCbdsX3r0WG7hqJ5NY4SYyIPUT0L2O+D2r
JileEH6LOzLK4eUMfbnB0cX/nk7mMqibCJsePPtSNz97FOfWdGgaAtgFZQZdzI/qzRoRqrWZZjH5
zmrzDGV45jyr21jAE748k8+tRW/GOd0YEZlGdLcDzN82ZzgL9YYl9MD15UHOfRClbnFaJXoJitz8
I95cjFqSuFbCrnZpOtlL4uMWHMaf8hjIV1CPn5jOzg5GvZIzi4O77XTbKysWoyzhXVECCa8wn7ad
UWyQgSGobMJPbt+5hUBS9udrgWXvw+Y3GUddRkgpQBNXR6225FJ44xPk25cmxLwVyE/u5Ido0vlV
seiscYDFSwX84v2tnOoi4f6yT4sG7P7hpIm9PVX9TqMWv8p1JYBsV87+W0f/Eqpe4I4+ymZIGsSq
zDZkh9yMrxa+ADTang+J+vKTPjdtec5z6hX1W3w8738eUai1QiRk6vZl8aI7/iMxjveJTjP5H4wD
1RW1O+61D5uDulPGoECU43ISLajmNM/ZqPSrvK0++ZCe27ZSnMK9ps5/sU7eQ713kHEjwAKe4oqg
RufWZ8cqN2FPidskLx/SxPmkUHFuAr8Z8nTDGk1kdOSmms7m9y1kuBcH9zRJovsq7z45c+jn5i8n
UppkbB85C5+ci5qZnzYNVsoyo40/mqD40xPKsOwSYS8p3/pLpVBCuKNqtg7LWXCsiFmeVaH8IeTi
yaCo8uSVdu22GrJlrC2YDYKmuvcnB5B4liTwLWt7M1i9/WibrJpY7WtUE0o9QNecS5u59kftNTTt
2OOHQgVU3N7gSSzWAMVeQrvrF+moh+s2HbX7AuUlH3vN/GQ2nbsLzuzUpcTBvD1twBKwWddYxNn5
FdNuaiaxaFTjCXjAgZop8ZOQ7y9P33OPeLZn4Bi0KLae3vYiEv5Yshlyw9Ih/7xoKwLUOP2udFLR
PAIfEaZeHvHMJfJdn93GDkacD6dLR452StRG4saOb6yDapTXGUQe0sPy+imqxAT0Nvh5ecxXvcZJ
VRntjcZN5RXlaHsyu3yF1AFpJ6kr08lZBn0r741AdMsMMMkBPnjyWMA6IPAdydarTtkOmuQxbadm
Tb6Os1X6HsnsJz/qTBETVQJVn3nVtj6cff3BnMCK80bXk4eeTSfCBFWavqm9ag5dkYQNAG4oEjNZ
Oz7oi5GeDPJr0EWXf4h+Zq2cfeHIMQBp0WjT3q+VKtIImTZhim850mmNzOLmUE+mIwLLzDzwuKxd
EyFJxGdBclZCEVkoKX3UkDyOu17v1c04euq3wGDjrTWT+o1tcbYNeqYUtol4g7LH3KLLfRlRZLJk
d2tyqYM1gkFjVZF45gaytNZD0For2z9oeazfx3o23PLa4kQB4zA9BXbr7BPV+q62Y/zJwfzc9dMB
w4NuzR3608IR5bYIbo3O9SfxcB/gz3UHEm2fQpAtm8v3+txQqC/RGuBG57Nx8tWk6VSWgENT18nB
u4NBmi09QxHvnSDxny6P9frcTmf9XP3VOb3yGTw9/meKTNo+DTkcdCb5yZBuQZhMkyG2HlSMVUaE
3kHkqnfXDFp/o2mKf9QaAkQMPSm2RaZW/97V/99ml1+Hv6q8zv8072nlr8jt/0aZ/z9EOKfCavO5
/i+UwMes0TxjX0Dp7OWVBrH7/T//x1//zl8AB+px/1JZLJg4fBTEa+L8f0h4Qv4LdMJMMefEgk6C
t/c/BAcHEh5tTyrMNoZ3rNL/TXAw/qVLg5oQNTB6orz5f4fggByXJeLNVFOBQbHZ4j86fSCqjyfz
uiABAjz1GNxaRUEyeqKkBG30gTaDqWQ8uhbvNF6K2A+icBHqxbWvJcoygdH4u/YQvC8sjFvFEi5d
OeyCqSTNIWcT+2uqNBIeM6TbCyMtxquc/JbkKaQcc5XXk/o70v3BWQhEyCgdaQKPKxK4On2LZDT/
ikbE0nZY+bpuT9xS1V9XhczW9I3IKxxJHAE4K+PrQjjGUrResyBT44r1pYAfXdi4XKJsQj87QuJr
IWpqkMF3RjfgYRvZdL2grmuxYc/rtmN7gQbVOCO8wpBBeM3Gqcct1VquQu1m1+UphK0qzAbk8MpW
i6C25prz1GcDBWhYzUQT+bhNFiP5Y0+DWRdLvUWo2o7DVeCIECP4JCohgHvBkF+1eRJBY8WRZaL2
zjRUtOz06+WkeKQe8NkgrQfhZyvgCYfmHmdYfVcXfQQEDNriL+7IeIhrJ/IgO0t2Gk1l4OI9WJU/
kHFciUVh9HIotpVdgL/WWB2uc8TToZHMqShUV7MNEXYpkfc9BJtGd6kXY0wcCAosutY6TEhoK2da
ippa6LDug7iNyELhKzZwThZpLJwOPyP1UNCtg6CtGO8Q3VhWsSqo7n/v6Jx9qaHC3RHApAy/0dsW
0R+HHK4/fGe0Xr/RQP2l4h5UoNjIJrQgDBaWZ30rQOoZizJFjNv7Mc47AuG4UVUMknVM8IWHpNPo
CJbiIxSnaq0CmpvVwf0tNeduAVcRLlVCPM9qLGI2ncgL93YU52vcuSDsQ7TrcR7cirAYvjSyNUIy
pxJtFTpVkGE/afy9bYM9ZQnlbi81/DKumqnkeiTsNHZsX6vNhEzmOdeK5JcGV0DHWlJL0nRKkDqN
DZp64fOtJQUTV9y+1glxM3Q/2UdpGAnXyNofQWTANp9yw7ybK8om3pnCpxhiqIDOjHRDlK6y7XSc
KxbDXSeIVrZiEsMxyxvBRzmGrgJD1SLIwu7bBcSG+DCnIBJmotXkGUEG33W9at6EjRcBiG0S40ra
0bTPvIk0EiycMBqDZ34jCa8qsX5t4t/8L/bOZDtuJNuyv5Kr5tBCD8OgJg7v3dl3IidYVEP0PczQ
fP3boCKrFFRkaMUb5yQzI0MU6HDAzO6955ztxmRCrqXtnglS6OicZOFL3MY+3bVZ7QDr2JsMa9RR
Gl79kHbzJXZy52Z5sq9Co9PXnm7hjGmMi5m02VWc1D3WU6TOi5EMA6ZV628Vs4Krysmiz1GdzKe2
sWmrqSzfdznYkClxI8KBVbYLk47GYlN338jS7na12/p3ka1x4LeEeRaZ9zhDICitFCguuLtzNivn
DFxRQ2TfDU9OU+EcSHE1AD+0zGd01Shj5TRXEYNm3brljCnxAHTWm+aJGJcRd2ObzbjrZJ9/pSb2
oQZTa6w18jz9VaZc+662iDnDoKuqr7aYonvwaQjNq6x1vsADS3YlsFv+jlo7kGlnBhbOyVUjVX4Y
dDCB2UhquUjTdBOqdNxaZST2o0P7lGgx0pikCziodyJMlJ7sk5Phx/K+jxc2C/fnvhubGx5rEHrm
dPYHgq+dLPT3BCcQRSWsxjsKMid9qK65+IZ5J772c5GQlFOV37xE97FeTXgi6oI56WaqbH016cYh
dNPbvmjFYbKAJ2Y83XdkuNfFyhgmE+6iFQZDD41Gxzc5jQ7RZp7XJJdprljZSaZ7wcBFRRVLcNQD
ktz1SErZsyMGf20Z9XxbjbhDba8dCJykTnOstLowyajsGP6OX7WxhJJpWv1bBOoqgCGAmziPu91o
m9ZnExzs1WyQ/KswU11PaMa3BlHi12bb1ie6ovrimJqzoGuQeWyrqos26Mz1V0H9s7YRuN2mePyJ
qxuIlItTSRqZ0UdvuO31falK79nilKsh8Wl9JFNDHsT9pNyViOKBJEFWfmS02soTyr0wGwjuvJHW
1o4M8yFq/BqxvxMfK8IKrhvMDOu+0RV31o+n7xic+ju61k0aEIcarztiZBpcSYtdZGzclWEo8zBj
WJeBbTbfiwImgTFWPv1ys7pgdJgGmtW057mshpscPyGHZf+iUUy4VsBn4/BgYZm5iHWjWRtmk77k
nTLvU1oXF14tpjt9MMg80NzYv7X9ERCY6MdDNYbEn1ahvRiyEv2qVXX2VPhV8xQJElABYoWPdRYm
JzliUYgHMT/gR5s2DGDTHd7mCYs/1iSdgjsmnbSB9jb2pt4fynzGpRh58sGmhz4RNNGVay0BmEWF
XG0aPdavm84D9OSJsDqWKNF7GFvDhK19KrIgacm3xDJjcR/74bM9es7KUWB3SaWHQQ05dj4aieF+
RRyja0EVlsl11MdD4Ka6/zTNDqxXe2ajF6VO6kEXdcnWRap19pK6vg89RQae5rTAmqJQENsvwCXI
Bh9MVzPQ+DGL+e/h+Df4H86fNjOjvzkcY657/RrL7nvfd386Iv/4yX9nnPmfaCi49BUcx6J7/1NY
tGd9crAAMGIWDglTznJ6/fcR2fxET436iB9j0MzZ9f8fkY1PDL/p3DLOdJcMnn9EAfq18FsUiIz8
DYeL6R8nGr418eLVWr0ngPUtriJ6CgJAZiKYff10d65/HLr/haXlmlZp3/3f//NXVzKZmiMwwPbw
y0goL1FIz6PBlUw8zZgrX+qyGkHBxfLHI/sfVSR/dSWugZSBATPWleXf/9RNB0MRzi04FTwimQxC
qV91CsaM28y/6Rn9xYUwBODjWKpz/Zdes6JQ9at2rvdTl71lefYWaslbyn//4zvHZZylsc03/st3
hGAa4bUz1nu2CH/ji6ZZwXeAHT8m/4tbx7NKSY4kFXHWx0k5WSiFjd+4Zpst2vOoy4zsFFOc2zL9
zYdy/1yZ8UwzqmOMzMDDQvHzsTLzVEH6pE++ZTwMGXHY0+0UjY9Y1R9rpcRvWkm/Nqm5mIUODO2y
6/sfxbaa4VS8mxXg5YYDkIfhfZ+KBsyglrzqIiogrnK0BWr8z0fmXPjdffPe3/v4erltJc08Lut9
3STVncTvtnKISn/ENGL95v1aStmfSt0fN5ThJKvCUot7H3qJs0xBp1dFjXyTmKwC+/oGpFV498+f
RYRQ/+8qS8H907sl6NMpTeZcxR9JRWnHR1UM5RH81P/q1v10pQ/dP6itMfnBXCnO5bTmLPlKxChm
jt++Xr/aixiSOLjpOCi6jo/o/M+fKZKYHG0NHVjPnB/3Z1et+pHW/mDZn6GIa+ilIVmINDa3Tus7
IBB/J1Z09F+XEhRoQvBwej69ko/i2yosHFFwTqUnZlbrWlcwdKe6H69nu5g2fqhXa8NvjW2DlHyv
t0Cv09zyNxbY26Nq6KQEQ0U8oUCNGLRViaMyTorAS0MLiItOMeRlbxM+sUM0G+qi9qhFyPnv3JXJ
gWlV1fwR0CrFRs8GM5BsWnuP0/3N1PrmU+aZUANCIImqUNN6oJLbhx45VtVEOMmQ8kpl3kikVTeB
NiHuHtypaiL70PcISWWWlxtateUdGQ72EaP58LUJ2WgMYAJHhRv+hvD96jSITqVBTO1SbSY7hzxH
ggbyOH4fjSbiaxHyoTPV19uKuN2ryJwJl8WZwTDGCkPYSjL3CTG0en9H2HS9bXSsimkjKXha6I+F
zqebC9bOAgdo4PWlSVA861scJZR4OJ4J1wC0xoiHE7ZC1nAEZA3TtJ2rk6H3TGsKAiaEX2gBRDDz
KYqVcxojI32JRJU/ugMA1Kaz6ufGLcynkM9erzxSOJ7rwpYzv5NaMv49+OfUURPLzejaJN1odps/
dgMRQ0LrCNXVkv4l5NYQrdDUV65M33SD71RiMX4iJOdt7Ibwrnfnihps+e2hGJwmEvCzbQvNnMfX
9/OYFCl3vMXFZR/YVPogBIq0U1FurTiJJEsslCyPSYTZbQU7ObmMrNq/Ipu/fINiZFwaxLztXJkz
4De1QRDOv7x5eUeoFylS4kzGMJn1xOM9oSQhkcyOpwDOc3QvZhz3nJyT7MUn/4NSfqjWpGWlBU5j
8CyEv7RuviNiWK8vDKlqf+3Gofoch7Xmb0wDLDzeoCyZV65etuAxk/lJ4K29H8useDO9uIJ4HMH9
7Fm8dV00ezs1/MeKl/veIoA0DbD5OmQW2A7ZmaivFekMY+GfW0TA6BygsK76cMwcYszqCPJOlGko
7Fz/kZKL187WZy0gkpryiWAT/OO0jVYOZuz4ETVqpJD+lOmrzzhu65e8R7i/jGiV+IqwYxWOt0Pr
q88zJdwOu2CPXEdrTZicBCXOmzkVaPfbLqK54cIV+IL4m17AzLtFWPpkrGEwdA/K6+tn+iUO9Nuc
ZXys+GVbqVlHF04MkMEh0QIj45tw4ih7aSKzPML9KzcQxM0ga9M30GA+kE/XOvKLGFtCpaa1NnXN
sI4LN74k3gh6epQvWRd8Q9Ji98XZSK0oWrEmJja8S1VL0wRsQvy9rH1nX2auWk1u7EK2MuTnupuA
PxYVHSpf8iDMgyhxlydvHXFeq0YjYKMz8h3ZNd97Cb857sa7sjH3faW+yHhKjkXpmgDcyf5nN/Zu
YslLCYV23OhGri5UT/UawXTeIsAERlx72ZOg9D5hr94Wswdjax7pwxR0UTLSWmgpWn3OQ82qOF7H
eT2tS5n6Vxbn2m2j8dZnEjqjUnW4sjoyDeeW1a0Y4Gkby9Zf23xus0hfk04TVwL15Ws+koxkqd5g
0DoY96BBrOMoeaJw2IUv0g+RZeaAoBXyr43TzbxGhWh8FMuLd1lrCa0nAkMLYoIUbwyX0H9bz18d
h4WybVk/yIDyAKATkUXlP61DmEEhrQQpboi4ac/GQHwn8ag8htJvm12uF3KdTnQAC1NWa3fg0m1V
tfsE135AK3D4GqOvqUvYEJHfEQ2CIWjTJvkVvrBqGw+W4Eso6quuWY72lVmdcqPmYRqgrSerwrAR
/XB3ktAf1oULuvJ91R3i5LnPaCjrA6uVWp4RR58NwN89DRNnjLZqQqBCplHarDStd8hddLYdXd2A
UAYzcKyZFbGvxkDNdL2TkTs0e2FJS8VrAzZckNN8w9DU9LbF0OCW96qOwkAQNn8MZ1ncdJK1R4tY
PQaflz5TBfccVNTWStEiRaVKLq3Q1L/4BgxLpTkciSt5JbKO5purK3jUTOQLcDcXfZtcWYmlPms0
066mMe4vwnR+IjxoeBLZJNZiot1lz4azn/1k3pQxNC6CZIGLZM9eQxhNYsVvVbSYtfvkgff5sVXE
75tYdIgQLJqg1y0UbhMsX7bFaMfi/kVzKrkyPTa9ZaZ80JI4fyQGpjy2JSuOXgjjPtGNehFQD1gm
3xdZ8sCYdPMdbCn/hlXmkqrJvg1IBVKH3DPat9tdGfsr04jrYdXTLac7n+csZil1ZsMjkvpFYER6
diiHRvdJ+vEWySBhsOtJNXBo8tpieglhpddJ6RuI6K8L86ErzOI4NFZxhE6o10ElZHOEyybX0kBa
kK/DZkQuf5oGcyxmNp+8Zf0rvCGEWDAQEKFnKcFKdqKKGF6BT/ttRRygEkdbSZLaQ1daMNooB5jj
rsjx9966KY1p9QFR/l47qI2NJPIOo/Bq+vcT0WGcbhx903Qj6/oklilh0Ld9f126Hpk8qU0EVtCJ
KGUWHrc2mfTSUAVrT/ciMj3rIZfnd0NqwQSpDRc+COd7G4iEN6ljmafZOqn1L7aQ+5oWJsnbwFtt
h8mq6fJ+sXCoG3CS2oVhlVq67r2CBpRtTjveU9NaVSnJfxL82t5s8HuMTfiaxU5GHK2ZETyIVoO0
OuMzM+rxEpAaCWhjRLhsaZsSwl9uzZe8rtHXKPcwV2RGp61yb/Q53WraIRkdXWyZPLG+2S7Ltx1x
OqFgg8E7EFrhrGs+8D5jiEr/dXLU7u/P+L8O3pcDMZHUDnpD5mcfq8AaZynZzDLbx0VhH6XqirfK
Wuj0Qz90egE0j6NVnufctjg1+ssFrbkyIPBc1Ux96H8Vr2xc5VGYjVhPJqVOl9RlAfhUOifC/v1z
iRzsnLmdv+lVk9SrXobOPlo8lxappNXGZoJyhxPffmVoNDOi4T92QjO8myk0WG7DaUQnS/v45X0N
LCFeiGCY4S38pqr6dVjNnJJWDPNKzIwWrsY/FwfdTJSp7PR833CYWLvmACCSBAIPASZnJnJLk0vg
C3G8MmfOWJlP0C+Ln3Nibh8lRB79rm7+Raey/D40bBC5YXz8xT7nRcSFksqf79vCIJR2OrUZ+8vg
Ja9lLm/DiS3/75+GXwp1Hgb8CFwJgiBtpw/VUWcrp4iGOt+rhgNpSbImmzVHkxKW2EmzSc76++v9
quBbLug5i/wH58UvfoSy5bBnuwxQWM4G5g04z9cJwBPilnmwekIYNlnHs+bSlb9+34IHMgXdXWwO
xjY2mN+SBu28EhGndiOJnL95In6pswFwIwTD38cbwn35cD+QNQ8uOquEYcKU7ByQxyfGkr97B3/p
WHAVGhV4kRmdo/pdvpWf6mxwOip0yyrZuzYnVxePGUZCt6f97nPIdzPy9uBwJJcxnLXPf/8FmEun
4E+dBJ/zAbTNJeIbVOTHWnQyMhs3yoBSshuicJ/blX/WwtB/KSTn0q4anOnK1xz/sbSnx8yfmjet
doYNswaylfuqjKE8Ry1cxCaXwtpEfc1ZDtLpnsOvf06rsvvWhMyLD8B6qBrff/v/9qt/06/GBr24
D/9zv/oxaalkk9efW9V//NAfrWrP+WTaiKkh1b+3nJe18A81h4BSSAcLWx5tbAEynuf1j1Y1wHob
FQfdk78C1vO38QYjXBd4+t1/1KrGjfbxweTyFu4vXgr83ogD//xSMLfCxDNFxl6IqcyRUyKWblm4
g7mcmnMyWJuxDAl0RKoNWiqKH3RZc2DTreqUxJG8tCp3CW1S1tbxeAA3rYe9MUYAfGrdMr8nUoZz
OFq0QxP299TrI1ps2bxyssvaZN1ygx86dGGPZk/+65L2na+UqbXfnLBk1Y95uAlcc15LHcBgQJ6j
82rVIOZWi3X0sXcr7Xs2euNDZlXF+H1ZbL30SEDfcBlX3qYt0NhHY3rSoa2LnavC8p4OFFP3VaRJ
+1L2nPTXZlxhmiaNpl/NMcNGmKHwX5kXrroiaew15oXx0mjHfN1msXjJs1yYp65XgttCpOveGIcI
JKNBRyFzG4om08KQIUgD2BqNDpShg49bzOUpGtiWsajYa6e1s89t2lHqGKG91ryFwEq4xSOJXNNt
UTkktNqdTHa0r+prQGf4mUHN2gd9VNpz3+XJWnYAs2KdORv1Wo4QYlaN91h3CYoBzx2p/alV6ZeM
aag329CPcmJ0Z7s3r4gEmZuthi//vm2E/SrJoaU7QEn+bEe2ODMhMe7HwVrucoYelyBq37j3AV3g
CGBDuI8ScNeceR3++t7KYZm16A0uO3SPki5QVxOuzFGs2AhHGSQZxz4HFa1tymw7sPOcSPsBbPb+
P4lD53ulbgVl1siSPzfFBT/jWFPmnetyrJ9huXAmc/oifEwhdZNpTCrhuVdLpyeP6b2tkVf6jwLZ
Ef2mPvQfsREBUWiFIu/Eb23jHsscH6OQ9J4Gr6JzBB7SOlhx77zWI8HlO7sXLUqgsZtPfgk0cEW8
QnUyI4MoO5SifKB3mJrZtHZ6IjQ4j4+EePELDEYzRhsvSrm7hQrrZ1iAUMsIO4UZ5tCSIvt19CBg
CZKbzctQ5UO47UjOjQ59rWjKRFXaf0vTirYchL95ZY/LX4vCps13HAb7JgACpTq1cjWdf0HSD3/9
jzaXmPuUqAQT8kbQDiP/dm4868DxliCTMeZrmcFFPb9vdLaG630VSlO/Folyz+9XdOnVjVuludZh
yNG5rJgec39TdqjHoc16EVg243waJKaad21LOKYOLFMEdjTCXtBbGnOmwVGycaDbR0nq2DcRMcyb
zGqAoibosLoFBW5Z7LG4wVaRlfOxpkLQ74II+WQviMXH998Sr4uM9vlEumdgGQ6/rFO7PGUaB8hL
v80JqM2zDr5n5w58zxlBMfMdwyiadFW+fKXMybgDpIro3WU/+Qsfb2njtRX/7E8JJ23hRzRnMWdw
pqw0Hgh/6T56A6GFcCho8MNyMKZt0tT52wymnRRJV1ueKcMkdTJyNAHLRaqhOhG0P8ogrsEYAy7o
SdDxTbKtqTlv9UGM1wof0LPFk0aMZCUNwXNaFoTn2359JgmVQChHTCvHBDGx6khcQWleksU5tZ23
QNrCU+pP/iNfphuvyZAxbtN46smIbbv6uefoHG691BxhBfrWLh1EsQXBAV9ORc6NTPrua4p1zgLS
xmuR+/l4J1yQqJ7JDJ3uyICQPuIGnOl+EQNUFsvBZ66csgtIPMytteOXQAu5ZWQao+b19gOn2K9N
nXooEMqK44cdDvAJzS6zDxGNtYNVLveXFkD42HoeKwijc8UFi+FqYEi6gaZqRhutp/o2Oab4q6K1
64OF6GZX5YJAB5DQ0U1p1OUtajqXMCvSrxEKZrH54Fezt9WGdvpOAWMdw7ZP9qkSxrfc8eZHEcnR
20KkTc8NuJHvFrS6e+k406HGMrqBRR8GVaI9tKnW4guxu3XZZH1FwLxIdrARSSmGnQEIoBz4/8iA
1gWzgRIFGAKNKOMNADt7Es7gEUWAXglexRxaz1A0OyC9dJkCZJzGQRL5dVGQdbJ2hgEpAUxU0w2S
cPbO2NQvW7ctvhNvQb7/LFpiXsepmY5lP4rLfNBu4cAjnUPTSOhwJhRo8hylUnMz21Z8ULq/65U7
kh1KFFvXZORWSxJgMk2G16VCodATqlwmJATfGiVhyrTXODL63RztlEysc52VuvkQEmL6OMR5e5cP
9nXsqOYWqQ86p6gzbkNG7Xel19PFBkUorhpExvvEy+uNHsX658gcAMyH4n6OTPdJdpO5q0gbX/gN
ZeXzftSMlBQmPl78YT/WNEtkbV53pPGs3KKOnU2OvuNMSQECN6RHctPFVbUZEcBu8kWD2KVYAFex
or+PHx8V3Rok/fAS1mORE0AunXRLv04SUNvkuQw0w843ymqqQIx6f2+WmXhOIF11bIWWfiVpYzAM
1+qDci2e6sFKX0a29xOCQXmJHOVlaEVzUXfzhKRyGGs38EoQKB3QhbUiReFuIg39NI2pcZMZbv+m
4Li+TH5UNa9jr+fqJnHbMDr1NKUPUU4SWt20n00iSG/iGDxI5mb0WIUxnml3WvT4OdJ4LpBRgmuv
OMO7m87EWLmavOJ73iM0aeYEvRfB2Tdp0qtnkbjhOsLHde3TKr4a5YCkKivjokH36tWXSNmyCz1s
zHJNpqx2Y2eVs/ZsOWy4Xd5K2e54rAm5f0lkbwdOVT+EstaPmd4+MjBQmzjlOe1S/dkwo0PKrOms
YeT6PAwR7RpaQi1+ss7AUhrHJ+YT0ZUlKnkhAXeRtgCZ3YMeg6yIohWkzGifhxjwvKL0CcwYPTkB
K6bs2fy0S9fmUdEhTRcDMXWwT56YCnqLraBYtWZlB+XQZ8wh83xt1IrnwCRXOwaOwU7hhxglbYRQ
pcsWviVvAniMadbWjYhs91r4yKeqllHLqi3pInRAPYJsJnjf6+F4trT4axk9uHpjnEpEb2vDGusg
KidnC2GnuEMlhzwt5fixJQ05WY/mEhhc66O2kr1LK3Tq4vi6GFtrm1n6dE8/VZ2mztKfMASzQAFd
vmAFUvtk7GB39IV/Y/X0R+tSxvyjadcnq5ib29gpcizKZTdsaNnRUo+HyjhKO5Uo9eDRt6F7EH0K
2JUhzIPe5SHhFIV8jGX8OQWAGuDQBTsdYbN/YLYDYagbMWQ2HdOLusC9oEcEK/ux2LoS1M+qb9PB
XRG0jSZXeNJttwTwO7wJRZ8F9eg0WzuR7I557EerxivyXT0AMa19PriC/XsXppWHi6MJ0w3b4bAX
aQd5LvcBZocMiMaWJH/K6I5uYUyDcIq6E/Y+2yJ+e5KnsbWr7WCao7XlZ8YLWnyxCDzWm2/MDd03
kcdApjLXmfexj4ayRiq491s/3OTL0arGoL3K1dSssC4UVZAXqbtJtKbepHSmAyGFvBiIO16H2O8C
eq+KMalnnjK4D5dzJ2rrgf0tu+hL6BUqKPyxuE77xEKt7FS3shgj9zYn1XwOHM1vV6qn3SagFH3J
DFOPtj5tcl4gnbNg5hoZA9HxDvTKeC6zrttMkjlPkHYipIuuhkWjWLPyogr/7BUKNMNspZyxbP85
kkZ1O4cDQvAiirdNJqez0znOZUMTnBFP02gIux15tKq8P41GM+1EmQAzcPruPh6KYzM0p1rM45o0
vOaqgKr+lXgLfaf6pj0aWDx2bSQeOagNW69r18pr7ZuUdnaOKC7Lsm06FgiJwdHTvgG/Arp0sFsU
g1VeVikp8+58Ky29/jJihwP+6psIoukmAtAGPCRKK5zPmWy14uukxu4aHsl8pcVzm2zQ4zryi+jr
+1oSq+IhdJd2aO4w11naIRzdXRNb3m1l5E81UJn4VOaNR65/qb/2g19fjHAkUELxLByygYBwRMZT
thH0ub1b37Qd/Qkk4K3fDqs2K8PrqoaVTmTHql0mJfXwNMd2heK6FZF3HZl1c83ud+gLdtDfBQN+
7EkhBlsUZEtkno2Q+aOjJuOwFLqdXu2daSmdnCTlmCiNnJP7Ty2DvxBxfWxLvV+ImCN2BJtUyI/e
YdEys25I+t7nMS026tSi2PRlw1mNr4E4+gSfP2XCyHl0ZsF9/qdXX5x5EARpcNIf+yjjqbUJ2csE
8rxNa/PeHfADJk0ycZSgH1mNGld1e4/zoIa9qP5N389YOr0/t8VofcIUXUxSxhJA8/GzMxjUQghx
FdyJmr9dDZG0L7ysMe/LtKOCIhCPD6/oiAJvQ6XPQJJhz6orIy/fR5Dz7v/+bnxszPo6phbs4ot8
yrB/8XFH/iAnM6KY8drWPgwW7QcniU3Sw7zuG1qR5DdjAeejRgWzOAEqRN+SBGlzPqQ99HNPMo/V
hLeEoJiyaP1zH1OvdezGr5nWQ34xK/k1zgn0uIyUkOCAWtcKAdhgVisuYJjlbHes5qjpS7u9Klpl
XBaaO9fH1mSEr+Le3yigSmwQcxlyVi/c7pse6ZZPF8fu5zvT1UiCbOB47BMpqS1qJrWVo4b+rsOZ
1G3nnkloF0C4suyXmSIyC0IxUqVHoWNR4EUUoJDUjfvCQ6Ux5FP3jXWifBOzKu+wYlPG9U3Hnycd
qX7WCyDf54iCWFs2TJ2q2tBCADyd7LZLYk63ExEz2Ik/2F7ZFSMmCFWGO246wpye3xsgBc6BH4bk
/7Y3f9PehHcJzfdv2puX34d/7V+LuouT9vvPPc4/fvLfPU79EwOtJWOMmQYP+B/9Tc/85KA1w/mL
3xJXHKLaf/c3becToZnkFC1Dlz9Uuv/mDZufYJ/xx5e6dgkatP6RW+3D+kKED38RaxvJbsw+Pq4v
tuaOUSO8eZ8tdi1rxkhhutHjTzflLxbwj+/w+0XIOEcmxuf8JcEEDYZW+z6+ZpkBsx+9bl7HHkRL
eGP95u8vhZXwT+vlciliS4S37Ek607M/LxcVgq0mjeBojSqBVJQn+HlMqKzoMAsQMkm/JwVd242z
Y4Pqm6rfXP7jnojAdOlj451doqaMj5uFmc9Uwq7ZQAAf7iFlPgmOvn//CT+uwO+XcCiaWYoZCX20
b7etNkk9NJq9Ywz3o2M94o0ix439A5db8/3vL0Y85scbyqbL/oNj0v6R7PDnG8rEnmoJR87eHqzm
GGWFwZje14pj5oTFMVf2A70Oxvn2j9G+VcFQ52DLyL94H/93FXApj0YhiEvESAc5eFS/VFl+E1DW
UAB373ICszGQFmAH5tjsmwczLawvZjrsItX1b6UtaF21vW6Cu/PrQJt8WcA7La3LuJG4ZOLMWjOX
HB8nfHxn7E9DRH7ZAk2wife6dx0MxcnkVXS0WusmjCrnyunL7NZ1aHAouy0Iuu6jS6mgo0aFH64X
JcIKRWWzVXKeD5mILmSqKaKEijfby2+rxP6K7e+mbyvgdsTPH6mMXiJkXFyCIzlWCaK1AQaus3pu
dlmzCMRKA4ZDOnzHC9YcvDS+IsZKwy+H9842C7kZqsG9HEcLrKjmhkczsh49zQiPaZwwhOu8epUo
9R3Xio82jaJjMtL0cvab6L537TyQIgt0X0VrD83IahxCRSB5Hm5SfYwv8AgGMqY+CcU0nJxId7MN
xpx+Ik1oinzoIqkct0nl+feNhxY6Fg7lqkjoMb+TOcrawF5YjuywD3bpaU9xptqrsjL4e8Q4mvdE
N+Jj5LS75whBkBV1fEEzy4lPwDbbiyrXnQ3AK9KhBp9HpGjS64bBCs1UWDtqkuZWJbn+aFcZ43uF
f1KLE1M+y4QCNQI2Y5w1Qrbvkxh7U5mgbQhp465j0CpQAxPDP8woZ85hGLc39YwVp2i7c+hP1jP5
vP29LS1iBrXYuDBGyyXfnmehmcHvyr4cd2VhPccY0DDBJjLa0scbmUMm/o2OhGOHErddCHTV9aLp
Mjs5XdDerels1bm+Bc7TPFeuA/8qcWsEJaOT7FrflqckROYWzrQpEq/bgrKtilXYe7Q5jegllVl8
4MeeqFsRfYYNORvDTT1l5DJ2WG1Uiq6lKGHydnhuklhh9pLRcKOF4HRMKyHSQ2c+PhWEctMMbk4T
5vV8pUdOdVVM7Bs80RwnV2Bl9BsrbKbXTqv0IOelOcMr0zguuibCBz9eu7mG6DIl2WibhY23bvSG
q0VMjHhfNJg9lTmG27COp+OoifBZZD1pTgI1bRSGw2lEyQI7V2IlAlyFJhHwVJEVYK5sndIplGNQ
OBm2LAYox9mMF3qRJbbhooBktJbiYkqgl3jxqxVaT74xT0xve/2W2EV9byrrBRjXmUj9CB4twyLD
405bBM73diUhbWYtpbDWr8MBMlojjDigS3WhdU1N6m6Y086cvyWR6AQtmWyiRo/UIdQibIuafjNO
ctuPEF3Ie09XFazX3Yyci9Ob2zy0huYVLE+DRjhBi6jTrKzXThE7X8U1Papxi/zUunecemnxZW15
KD3VXUuttl5Zt8UhKQZrpxtxHowKS3QcS74hh2yXyzDP+qV8qaeHyhD5mQVpPhijP6zw/D63FUlw
pi+01YDXK8jr0MT9FnMwJEiCDWBVKF31qyhi0pEXRnnZFeKQK/MB+bq+MkOjDCLRHtEY4svDB70O
M01cgGMkNstHOtt0G0+azLV0u/6SSktd1XZX+IhOefdYEtyrZErHs+8a+QFdMWwSAeuIFLfhc8XY
C0tqy5V1P53gqbq8QKBoxsWTrOVPBvov7GKzfWPNMFWtHAe8QZeiW5Fdbe28PO43LvMa3hN3/FYU
k3aVNSWGs65ESeqljw6ywv3kJ1UeMOKRdDdHmxETq0cumnwnZ88+51YyNIzQZkXpL7Q9SbwLvNj7
yngXep9CLLluQic9iFR4xBPC4y6dpNi0pj0FnpqSPeli5gazdUy4fMUclbTUvdM7zpWbEEELLjN6
Ec4GNc20y6eY26/i8cFg5Vqbti+23KT83hKRgTqR5u5K6zPzjl7cxmW69UScvP0yKoSvTO3mp660
1uiLYY6lddteSqPut1lB/B196XRvZyg3c5eHzLGqN/ooJobdNtu6Udgd2B+Hg0ot1owfSrj+hy7O
XDRy71v9fw/5vznkL/IqOg7/WcNwB+Mu/tf6Nav6P+sYfvzgH2d83/1ELwQsAwfz/+Hu3JbTVpYw
/CqpdS9KJ3S4WKtqAyZ2HNsxSezKvqEUWwGhEzqBpKff3wiUhbBzqIgLauvOBlqjntH0dPfff4NM
aPgl9uf8hrCCaiNygTbFYdC0Hp7zicvyKmuCDBiEwb8Vd+qAIjJYSQ28bdgs+FFD+rFw4/2JOzv6
+7AODv+je46D+YJyE0p0FCqtKDNsuHgPsD34kmR+54l0DeRqc895j8IEnQ52YVADIBStDuR6o860
wADzFuv1hbKpaI6sWMsJubDtp8o3wmsto1mWkuTWJUD8zRA24VUEdl5h/6dW+sLPF7PFWmNJE4Cd
U2Mw1vXoYVv4H7aqTlx8u7DGkoDL0cChHM8znULrULz7uo+lSPRA/UhcZzlar1VzXGuL8BaMU/Yp
0miylpm5PqmKNHiWpWJUWdrnVbz6BtaYgO+8uK/sKp+tsKdvk+1Qj0baqghn3qou3sVrC+NokjsZ
UVxCuz0QwtSxROX7amuYV+ECIs3Vqs7ZLuf2NM9IScJxUBuTBeokMUXmidhgNZ9syhIfggoVbUnV
d1TBo5nKF/Jan4/Xw2T4Xk6tyyBQZ5S1wNmZ28oN3A7X0bwMJ6vSLkYLK1cv/CU2KEms+TSX1yTt
bWp7rUhJRwnF2yN2tTF2Nx0zWeF1nev+1BxK5rtwBYECcSCOqbq5npZEYCIaOeKAjIcZ6XUS3B+T
YZRMttXywSY9/3kbDo0rWJU3XyKFZo1LaC4mcqXF89t1WqlklWI2cXssTkTyNb19tfpjlGq+X1x4
29iSnvygVMx6FAeFVE8LI1ulI3JqWT2WhzQEAZSaJ/kop/R4lmiRdWsvbFmCijShBVLK6W37NlSz
9FI1h+VbM4yiaOQpunlXhlE+I/8g53AUSOEyH1l1pm1G+cIbvjf9VB6vlJJ+nJJfU4qUbyAmHa0K
3b+VKnhSaAgcluWiBvOR1ilHSjAF0pLmqfTpo9oZQZlpj9ebMqqjd2C+cyP9Eqvz4Yxqya1HaQY9
FWFgxY+IyQHcz3M/fBslsWWSwDFpPLid0vZVJlMOniHNZzZpvMr4TMVLJn+UCENZZGjtVRDaY5Ue
y6U6lSnrKom9+gbMcOXN1ouqdTKlzXuE2Qpk5TG21uX9tkxqiJtWlCNMVU9Z0YJVolkMrGk0kJEK
3J8Lj04nD0t/KDoK1iZdMHMjLG984E/WKLIT2gMvknoSUwY/i4KlBCGKOUzWEDNQIzInYBzeSqtK
Vcawwsh3NKgyNtNAAiU9LoAZRPQrBdxerZTlZRwF0FDVpkahmVVUH9P5ElizJqXlo++JFAYMNdp/
k6WuToJFuLhLllVyZySeBWR2vaaGQIm2cLSs5ZtazoR9TGTgT0F9SaOK9QcjS6MHm8L3AnSQAo2h
XlFODx5VSXHoVtDPWsb8Cmy4BMdtBgUT9B7lcKJIdIQayQqZhXwD/xygci2vRkpzZpKzfFZszOhD
Yq0X9C3WYQDYDO/sFa3d58G6vCa1CvVcIi3qXeD3/8Yg7h9EEChRe+Tl1X3hptXMzejB/N02iE+b
4uhP8Z99qTUyrwvakzTtTOxTXES5GMHCi6NONExQe3UMbDOkZrw/kxA4PFbx7P79F3g/2ncANicK
3Fyg9II4Il7TfCzZsDsBwcZW6iBYuXY3PFDRj5Tw8+fbafPn3+k8gfMMhxjIYGo7nvJDHWi0HcG6
/44WjmQcaGE4sHSo4UWkrrmIbh1qwTIGGqcJQzExTeIim8ANz0gLnEsE8L+fFuwBRQIiKCrv5prT
26EWOOIMDCKNFnSd56kFTJ2AmfbSgg5pGSFjUwUh31wvtKCjBZt4qyj7Pa9VwJmWI3Cvx9esARFj
ALkEJ9tJ7iwCeTgYErFkSzi3p9d0Q+39+LwDKqhk0gm7xz/aCQg/g522dvDnM5t9YFxE7fvNvjkg
zG6As6UwRVxsdJ3ZV2wyLibAsvbtOLtFIJg1empBNwc6tRLkgkBti4vYfUcLqkyCCcdTboDyZ2gO
YMcQePpea4GNELNPoZSxNwcsrkMtWPYAYkdST1CzNNfZbQigGkSBUz8tyAMFU8B+tz8AvdQCt4FC
AUjr7jq3NwKmRJGt66UF1RrApUGvqv1UH+8LlgiqwHAEk8iZrgUQPEbvfUEbiFYwzDbMHs3VfSNA
arEvQLyEgTy3VQBYvf/zqzw/WCjR06h94w93BEqOQFPIKHr/ruys8W8dk3/jS999r/HSC54br8tz
s9ecsx99ofU3Xn6+9zUaUlycqs4XhRO2u7fbuIPi7386vkTjCRx82HoGzX32P98/4Mtbd+7VPlX7
z0vPTZ30aSlYMPBE98O8dUJ8t/8EzlcndA6dIQIX7ML/juTvvzrjPNgFfiE484/k6sQ9e8tNvTru
MhDDTsUpur9g34kyJ2sliWkEJcT73lfy2Am8bzGdfzrq2J20esumPCR1nuN2lGLUuxN8f8lR5D7l
3lPRcZWBcGAO+wqfuIGzdbqwHHA2J1B2696/ib+9ARBahF+7agcdd4JVOEXr3nNnPvcmsq9mYAun
KrMrmf2Qg1hfyZdo3PNaOc3y1pp0R1/BV8/OsrMA9y50b7mQ5lPQ3H0jd8ex3qKjZ8rfu1oWFa6t
dnYxsz/Z967i7ZFYWqD0F3v9cm8yFNFttq8mrhFQPPlVK6lZF8Itaf/x56p4Hxde9kLNcF+ewLzc
OF7ktkPcbdVAgNt//PmYb5y0CpzouZUkRKvwbZ5gCm9+RQ/6/WDwZxaXbgQ0gXS6wV1FsTlA9V0k
Nx62IDtKsar47yd4YW68jBIT6D7Wnb2Jolb5RNJpYXQs+iQD/3EvhJ4zeet+TZ2j0xNIVMPuP5O3
7sbp2q191LfvEvkl2ra3TrZv3rlp5nZ2KjwSkSw/xeBv3NJ76pgxhAun9xTCv1Cy1UpqtpSdJ9Vb
dJyCfhg7aYyl7JgdiEhEucJpbvASXoF49QRHkjuarLaDbNQC6fkJNvE7P+BE0vVqVHIzJ7A7d6m7
OM6fNUGBvpr+4EaR6NzgHLkJ9DtSTzDu2TJ+dt9cZS9sm2kIkpC+o9/BcF5biALBc4Ip/RXOp+fu
8gntu1nmdo4U+6xgX918csuuV6mhkxM4rJ9zZ9nOnHh59qmLvsN9cNMQy9aRjCk+wUb4M76ZnvP3
6GRLL1pAJdQddxPH76uRRzfL37w6eCJVJ3CGH73sCYojrzv2XfS999irmJz3oqMVajx+aTNfizR9
T1a/jD+1qfjXftYNrolvPAWuk/7zPwAAAP//</cx:binary>
              </cx:geoCache>
            </cx:geography>
          </cx:layoutPr>
        </cx:series>
      </cx:plotAreaRegion>
    </cx:plotArea>
    <cx:legend pos="r" align="min" overlay="0"/>
  </cx:chart>
  <cx:spPr>
    <a:ln cap="rnd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  <a:effectLst>
      <a:softEdge rad="0"/>
    </a:effectLst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_xlchart.v1.6</cx:f>
      </cx:numDim>
    </cx:data>
  </cx:chartData>
  <cx:chart>
    <cx:title pos="t" align="ctr" overlay="0"/>
    <cx:plotArea>
      <cx:plotAreaRegion>
        <cx:series layoutId="treemap" uniqueId="{C30017AB-6371-46C8-B03B-0627C21B9E86}">
          <cx:tx>
            <cx:txData>
              <cx:f>_xlchart.v1.5</cx:f>
              <cx:v>Sum of Revenue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  <cx:spPr>
    <a:ln cap="flat">
      <a:solidFill>
        <a:schemeClr val="tx1"/>
      </a:solidFill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_xlchart.v5.8</cx:f>
        <cx:nf>_xlchart.v5.7</cx:nf>
      </cx:strDim>
      <cx:numDim type="colorVal">
        <cx:f>_xlchart.v5.10</cx:f>
        <cx:nf>_xlchart.v5.9</cx:nf>
      </cx:numDim>
    </cx:data>
  </cx:chartData>
  <cx:chart>
    <cx:title pos="t" align="ctr" overlay="0">
      <cx:tx>
        <cx:txData>
          <cx:v>State Performance by 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r>
            <a:rPr lang="en-US" sz="1400" b="0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State Performance by revenue</a:t>
          </a:r>
        </a:p>
      </cx:txPr>
    </cx:title>
    <cx:plotArea>
      <cx:plotAreaRegion>
        <cx:series layoutId="regionMap" uniqueId="{DD47F401-1161-487B-934C-96CCE2D72B05}">
          <cx:tx>
            <cx:txData>
              <cx:f>_xlchart.v5.9</cx:f>
              <cx:v>Sum of Revenue</cx:v>
            </cx:txData>
          </cx:tx>
          <cx:dataId val="0"/>
          <cx:layoutPr>
            <cx:geography cultureLanguage="en-US" cultureRegion="NG" attribution="Powered by Bing">
              <cx:geoCache provider="{E9337A44-BEBE-4D9F-B70C-5C5E7DAFC167}">
                <cx:binary>1Htrc9w2tu1fSeXzpUIQDwKnTk7VJVutp2VHspU4X1iypRB8kwBIgvz1d9GSHavtUU6mpm5VXDPp
UvMB7Nfae6+N/u+P/r8+1g935gff1K39r4/+5x+1c/1//fST/agfmjt71BQfTWe7P9zRx675qfvj
j+Ljw0/35m4u2vynKCTsp4/6zrgH/+P//Dfelj90l93HO1d07S/jg1muH+xYO/vCte9e+uHuvina
XWGdKT468vOPv/7fH394aF3hlrdL//Dzj8+u//jDT4dv+WbFH2psyo33eJbFR4wQymMZq0//4h9/
qLs2f7ockCg84lwwGTISbv/I57Wv7ho8/+ud1ZDede3n77+3p087uru/Nw/WQpxPn8+ffSbDo4gf
u7F1m9ZyKPDnH9+1hXu4/+HG3bkH++MPhe3SxxvSbhPk3c0nyX96rvf/+e+DL6CLg2++Ms2h4v7q
0jeWubp9SQt/zzJUHVEonnEaPlpGHliGiCPBOZWxlN+zzNXDdHd/99J+vm+Vz88dWGQT7R9okfT1
Sxr4mxaRR0pJzkMWfVL4FgvPYiXkR5zFkgr6edHHIEm7ujN3993nb//3IfLnkwfm2OT6B5rjbPeS
Dv6eORg7olKFccTIvwgQhgBRNJYh/7zqoz3O7u/0v2GMp8cOLLGJ9E+0xOVnnXzPG/+mJcIjAivA
8dmjJdTzwJDqiDApKJf8y/XHBPZkj7ou2q4Aqv/rtPZ9sDr78uShVSDeP9Aq6X8wtdP4KOJMCEXU
9+GKqCNB4igmnwPos/6fUOuuLv7oTFv8G0kk/erZA8tsIv4DLfPr2Wft/AfiBcBEleJUPKX2b+Ml
ppHiAK9Hyx3kk18L+7FrbfHv1Fx/Pnpgl03Af6Bd3r39z9llK7kiGsci4o96j57jGCHkSMQyiiIh
Pq/6GCvv3J3+/M33/OP76PX41IEdNoH+gXZ4e/WS/H8vn1B+JFmkVPhU2YYHdpDiiDIabeD1Bdm+
zidvH9oWncbDw0tb+r5Jvnr0wC6bgP9Au+z/g3k+kkccqETYEywdFsAyOmIypiyS38etPcrg4t/p
Sb48eGCTTbh/oE1eX7/kmH8vVhg9UlQKVFfiS231rCn51MBLEqIz+bzqI2a9Ng/5v9O2f37uwBab
UP9AW1y9/6yV7+H237RFBFuoiFH6hEvI21/bIuZHAle4IE918kEWuXqYf3jfmeqlHX0ftv588sAq
m3j/AKu8vMWvu4Jnd/5Nsgv5nYfguhiNv9RVX9tHqaNw62KoerIP+2yJpyz/nIL619v6vpEOGKxn
kvx/4rf+Nff1hSTc3bm740/s4lf018tXP4kLtvPg0Re6uadLZ/c//xhRIkCkfGEtt5c8XX7U+p++
/ajwrx56uLPu5x+DmBxJTiIwYYzESsgY/f788HhJHcUijJiIYgHqhgmU2m1nnAb1yWFttKRhKGIC
CI1RZdhu/HQpPIIHUK4IDdGzUrzws4xvunoBbH5RyNPfP7Rj86YrWmd//hGr9493bVvlTHJBWcwp
5SFXUogQ1z/eXYM2xc3k/5BJDFMY5t3ZJIOqSKs256+pmfurtZ4l2IUvqvnOWkCQb9aSioTQhQKx
K0Eafr3WZMNgHSRpz2I6k6t1WshVOVJ1u0ADl8OwquOX19vedyAbAx8WxWGMio3KA9lMQKO4lyHW
a0iVJ3PYN1lS+pVcOc/oWesyQY+pl+TtLIoIpe9LwiKBHS7Owxikg4T1JCiG58IOQWh9Z017thrn
7pu6sSKpySQvF7L6a5+t6jaLwr8S+Tsq5tAWZcAJ+NrmNl+r2FlXmlnGzZlpiH9T1drdT21TrIkq
jH+Th8vfXlAQOCmWg/cCvvi2oa/8pwwD30fWqFMdZN1FLHu5W7RTx42kwe80mwRywEtqJd/oNQZM
ChmBrYFyIwkY/HrBxZJwzTM/nY6dH6pkFJmNXq/rEE6JnFnbpMtYkCtZt+wsXipyPUy8vW37Pp5T
Laq1TfLYxtduiaIxMRMfp6Tvtb0kXvnflkj+hRfw+Dv7JRsBBRcMFYL9YL9to2ReNm485THN2dug
iXh2YfM6HPZ5N8hdM+RkPiedXuo8sY6Tt4jB5TpQtTmNQi3EeWElPWuWnt/l1BqRaFHDl2wWdRfN
KsmVL3Sjz6cwqpvj1kzkqolC6GGo+Ep2Y2TzMglMESXzEq1y33NPrgITB+Z4jMPuog8Wf02c8G+y
QmV1spqp4x/kRPtlJ8zqp2NZDVF5YSj3bwRQQuwKOVXqtAyn4Ney1iq7Hkxk4HJZOdA2ie0S5F0S
rZqQB3ipL/KEFEXpXzmmJvaLb5f5sg11XaSCl3MyKcai5BMQmKVBnPrJ+jfB7PwbVQ1Gpj4b+vdj
GfXvVxPSMzFVbkj9NPXvZUOnN6G1XZOqYQV8+bBUxyUx/E6a0F93piZR0kxZ/55q56+DISBvuRvl
rlgLfod+ImrP2kX596Jz0ZgKRjoLzXJ/PTIDSfuKzUlTWyyo2iK7jcqqMrtRzvyuHqFHuU7Qm2Hk
7ahgtFUO6nYeVn4nAuGvi9yq44HOnO6XrnAyVT7QfWKnzF8/+qouczqmmhbz+KqovL2vyy4oEsYh
bLRMvT2x81SvaWCWSp+rOCuas2oIhsYlIlJyPHYs0r/qaVa3sgee7lw1xv64WRj8ZGoFu+us7N/r
vEfwD426VItRt33dlHnC2gKe4as+SFnuuwsTLjA/7Tv/ZhyXft5NIoJKEd39e+/LpknzrlqH/TQa
GElpQs9GXRZ9MvebrDNTdSLzzpx+0j/zjqd0lOxYV3G8UzLQNh1aFV59usdlWZs2S1gCN1Z9GkDW
X3Tspt2cK7UfBwsH1lt4CFfN/am1ZZZdEDuFfTrZedxVg5fqmoYxMTRxaPnGxNUyLK/cIGzPE9lU
kb/pRRuaPMk6n037ugyXJKMBHmjrgoRnM3Hx5JO8CVp9bq0rgpMlHMt5N+TBkl33fcvrRHec90mr
R5ddRqta3gsVzffTEgxTOpd2Ld7MSxDNv1qoX5/Ytp1ObKTbOVnDqksCOQVpF1ZFEvCJQ8/2bU8z
feyLRSdZq5a9onU66MGfzXRg+16W9IrLbkynaT7N1OIvXN75t6IZu1T3WQGzB8sV45VIbazJbzaM
hl2vF5G4xZPXgdDuetaDzROXTfx3xyrF4F92pmmuCn8xxcF0ymSXN8kYRl2dhN16Jc2Y3w8WsCma
Ij5vCy2u+rBVWTKubLkk7dzA4D6wXbKWeXHS9qu7V4Ue5p0NxrzYwbnVOcucb3eKTVYlJI6zW9pa
1+5IwN45nQdpYYa7lsTlVVmjHzwdZgrIJjGF05lwgkstFbf3muCPBLjsr5Hm4MtR1uriVAQZsvRq
ipPFuv49J07dNoseyyTOZcMTPk3+evU6u/UatUXPSP9+sZWvk6ma73wn89uSCwBmF1VvyyAsfy3N
isBSC6dnWWiLkyKm9Ez2KtSJUlm7Qxrt3greHK9F2e4sxMj3hDaSn/N6DdWvq+3J740JgvVs1WyU
Z7QxK51T0lu/p4aY6lxElH5Y84mLY9NW57Xqs8s56PM3xpb6LJfqbaz1cFs7c7c0fkP/gtzaRo27
coSevCqB87wnxbnq+uj3McjGOa31HL7q1RzfREJW8a6Y5jNOx2Da0XkgKeIyvmBZZ+RetVH72o+R
H/cri24bLftd5y1bk6nR844t0RAnQc34lDQ0a6/aOGAfakJxf4+MZd5xraLsg5JzYZJh6LNuv8qu
qJMor0aWVrYKLpu6GKG6JuuT1fH8tyWW3WnBWvk61jTclRDpJCa9qdIlyuz7zkvUIr3j8pLORZBW
ZIJZB6XMcVFbBrBgdW6ujLTL2UJLeRX4Rd2apiubXVALex/WpbrkGQe8VWKF0wwjPMXmodzlPthc
acxbvct1R67AYgNLBxEB00uF90wRdiOcVpd2hmnSulbAwWYssadYLnNS9Axf6KqFC3qaq0tR90Wz
y6MKeG8mc7roCTg48dzaE8WFvFR9HaSl7LByiWTSpJj4+Tc9xfKCz0N9Ei/I46j5ixOarexuXUoA
/icIjPWYmeM4yDfXn8Nav3FzK9tk7Gd2OY9jeBLXfJ0S4wJ739IKmYNQA4+I1oHfxTXyoy04cLrh
RW12y9DVelc7HqNiWNDXnDxui7Tc1CeDLlFJZEGA9BUboP1QG3M6LaN/4ybUvo2c1TFZ63Y5j+ZI
tDYZl4b5V0TkEU1Do7r3czT0+nXEJ+y6aHrIOk8rlmxNscTXbOhri2whHOuapNb5UNXJLMMpjtPc
M3E+VrYc0mLgy00WdPy90ATAupigvJx744ukqsfSImWQ/O0cr90C3KzFJVuptMDFmNzUXRCe96MO
/nBmUCd6nJVPsGdUOUUQq9vIz3ALWRtk8kE58paaAekpN76t9iZm1YqdFJtGhw4Wr/mCtD72kiNh
GkDVTbZZtCwpzDQ28LjawowBGdA1uGgNTbjjtg+K41ryLLwlwcI4g55QWt4IWgTjzSR8Lfq0mHWu
5XVdSSWQqnq10h6pcViK/VIVQU7elRLVcn7iZ8eTmKDcqMOOHxchy6o0q5ti5+Y6S2axRCdNoFCD
xJEOzytm9BVt3JQWgV6O8f9h5xlX53W59q9g/uG6k0CWatLBbz5QxXng8iyZrEbqWWRzmoO2ThYf
B/t6nDnkGMSuDTOdhLG6YIvN0qGhv+QSkE5NPu5JmJOdWUmTGO+Hs25yeZK7mly3DBCToAwxSTmZ
IiEVKhInmuqPoGB8L6cuO1Vr1xSJG6ZuhwicU6DCH60Z/gjq5bXybD6DX6MwGIfwtXJ9+Jo3y7Sb
wiYVdmlO/ciHY9TG2Y0X47IvkUR35aDnY8/YaxY69spHY/sLrI283Pr6HJmvOWFNFSRxQF0qG3Gc
q/rVWDGbUKjqdbj0+bs+EON700X0qpuasktpHqKA9MNJrep2J6Y3tCHXqPza4yiYwz+4yPg5pRMr
iqSJVBm2SRvPLJOnQbk+8EHAIGxECO9xGGbWu2YM6w6FdjD1aYAMbJNlnDYE0SEQAvkKaOjK7mIc
ouBM0GXoX9mqhpM2GmhTCAOPXKcMts98re2bpZrLIp1Qdu9ebqO2ruNZayxBRMQ4wxNHBBTEYdu/
TlGpkPH6055/KvonH0aJ2Qrfl9f5pvuRUuIIF7gMtP0Mjdvzbk1l2o1l5/rTuhUA4zGOydvBmqBO
mCfdhWBb6/IJDl9e95vWH+uCR+NCoDNl6BSfr4uWvKZl5/tTX9bizgWNOW2sr/1+jjXwq2va5VoI
DSwepq3KfXl18DaH2pUqQleMAMcmyIHUiy3BnhDRnc48QwOyShO9lRvqlrEF2ru8x3/D3qAt2Srv
iEmA+6ctPHFkbx5t+Uj0fOz6xRS5fjq99+XP/3nbNfjfpzNlf365Hf77869Xn08NvnjXyUO30V32
8KZtN1/ehc087W5jyZ798Q1l95mw2u783158xtg94yc/E6GfyLetwf5CKGzvf8bXHdCcX5F223NP
lJ0QRwrVnsDBQwwuCAthv0fKDkO9I5B5GP6BgANht1FYT4wdeD6KMQYI2kiSCDTbE11HcDCLRhzH
gAhOMygcafg7dB0FS/+Va20r4tSjEgTUlQClFR3QSjUpTUvmij9IkrlRHUc964M6DfupWG85H/vq
jgWG2307LHZhOxd5rn0adFn4IW8Na9GPRL6Kz5XmC5KTCtrhdFbocV/VvAEZkHSV5/0HXrnSd7tA
iLpE7xDHjDzEvlvG61r7uL6TkvfZR9rQQVzlohh6mjSksNgK67lpXmsSopzZ5TU3VZ90M2+aSxIv
A7acNw1ZLqKGtuUfgZ06PPOVSZ9c/2tO8znobEQU5hwovxD3MB/i8Hnwx6QpRi20fMjmri2HU9ew
mp3W6ExMfLra3BVzuhY9TpjUYVZE2f7l5clGsv0Jrlg/jinOSDA0KLAUNvN8/bVEySJCUdyXpKIA
F9dRTre2IgqGcm/8nBu3M9rlTCcBC9a+fTMzutgoJWwVMz13Qre2SrpuQCNxpbgccO3lTW4Q9NUe
45BSimNPim7zns0tn+/R6yKItKHBvQgMqKNdvsZ5POxryRwNk9Y4IX6veJi5s5fXPbDNti5TLI5w
igEEBT1ctx+XLu4CKu/zBT4HkiJE3fibZlnUgqEti7F43SJpOJdo3eGswyMsPh6s/Y5rPEdmhuVj
tpGxkWIcZyXiA2TO+VQEodf0PojreKApn0PB7xBIgTvr1iKur4qAdOQVrYZlvKlsGK46wSnjGkp5
WRHPiXfshEc4ucy5FFxAG/TAAE4UYblUbfYxUytK9JNuADuNoi5rrFpOFqQLWOXlJb8VHsy7YIJL
MJGYIx3w4Rqpry6X0NwzMSPK9wsRK0HpYubRsuNCZkz8bkZofUiswEmU37twmYw6noou7Oe/cARy
gGRQgApxUGILVByV/Iadz9VactW74IMuTNwEpx4sAQKi8Z3G8epxLtnK0qKxS9QnXkUUu+JFqMeb
phflkrYBMe2NanRj2t3AOxNdN1PR2g8v6+x5IcHirXhhmCJwEgPDcYjweZyMcwYmcVj9B2+cgROE
YxVCWaGfKQ8Sb+gU3PRRNWxB4+Zu+yj6fPy7yiJExCDZQ6EkowzQ9nwbcoisW6zoPrQ1D4DhJdBr
BXe6hG7hFzTjwH2bg5m7a0reAlFN3xjCT2VQBlOVDBpouyH/ovFUW6z1dMFA/YE4fVld5NDHyKak
ONpOIsHCQhzkJ0/ntlftSj+AnxZBc1w629fjm2F1Rd+m87AM2FwQNxOudcvQdMtOVusS3Mx9n51Z
ZeoyT5t1DZeLRg8Y0STgDEXm0pGHQX0tGpWvTRpR5QGJUVAupD0PV1XjrVWRzcPwF2FKMO57BpRo
iVDFoY7DDxEEGOEDxIBntsPUTv3vMe94ydMeQzm4YpaNYC1SsqLbAJW3PKJnPTJcGz/BSU8yiUvo
8agY9uNM/zqg2SGKR6g2FAIJEwYMCb9xi8pXtsl01//eG0TRcExtJdmriGi6XFA7LlCHykAgg/zx
yxInozbzoFMA/iyu82HNglPTsHK9NcFoxZUsxFYgeDY1tTqpRr6Zp7NUwYWWKebTdW/Kar1da1HN
VRLW9Za0CmgfBupapfElRa263srGe9iO8nLBh13D3Mldzy21exGPm+0qnxcoMIZPy2NGEoB/kZ0v
8YoOxQN2XgTtVhu4njfVnbeiHfq9mgyZbhjtVndpTJWZpK4bEzVpkGeNP80Zkut7sCgZu53CicDJ
YpmjzpiGtkOJ8rKzH0I4tI/RYoypPIsFB6XyPChptrQ5AQP0OzpkC57ZR2Hc22Tuyq4+o+MwAyhe
XvEQjaIYWBQR5G2CMuObFa0JrZ4bOr+n67g54zyyDf4iG1dI3mIauPg9K+kKJ5yj0dn8VQxggZ++
vI2tnH0WFDQWGFojcfEIIy1Uyc8lX+k0DoESzW2DiZsDA9+NPHjoQGQDjXRlW3Jssrgr3kxW5kCc
XvMuP86li6YuwdhyridQKvlwUWdS3HhqarkkFi3TdO1kEBbpwFc0RnAi0LElaBG0yCwTZAt2HcIP
u0mjujjLysptkT/hlyqvcTQy7peEVob66eRliQ9xTVIkKJQbkHo7g4Ge4LnElchA6g82fjeNbYgi
lhsToYid1s1vGYosdqrJ7OG2vlIUH7n7VNkGot9cmmKuEGU3mRebS0dDsaIjLfqIbhA5rDYk+6HG
vKc4WflSIeqyudlqagLaBtEZkwFh9LJI0QGySVRAEmkTqAYLEvTnz0XCrK5Zu7KN3kmnKWLL9fm2
ARdQDDue4hgnhhbsLdMgV10KrNwgxfQDEk2A+d5yQTzfvuoG0MF34FNjdlrM9aaHYZk7cZUNHncV
GEHgNUveCLuvgthQUHpmojZdkC8g7l+IdlBlQjScjmARQahglvDN8N35isT12C3vaA7+v0pAGMK1
QBUW3UcXyipqk8V1w3obR+2WH5ugIzCIF02dL8drI4jLMZoJxvkdqlQDdcxxSeF9dFqBJm0RKLgY
m+t+Q7cRsHlaRP0MWHOoSLBg4TBUiFL0WASqaHIGVTgX68ClHDwnQgLceom/HvWzQWF197ISDmJU
olxAdRVHHNwoBs+HpS6ZVyYWMQRvpybugA6P5W2kpZ+qFJ2lztu/goWDdLQtyXCQJAqRlkKBqum5
R4VlhxKy9/FbO2L+cecW5+BQyP3QDyt7Bo4zmwPMIBJR0wUKr6esRckC0IOWZuNr9yYWVmblPnNM
AgwQkNO1wTkpZIAGM7RrzJiQqJ7Mlg9zC1X6WraIFUTRZo688pshgrIg+FBLqabrsGs67IRXFXJT
JdzWp76sbaYohPuqo4LwWxIASBD8ZuHbjgrloA3y0C9vNcZxYPDcWNE+zeYwK69EtDKzHA/aiF4m
KgKVqBMDeno4D+uRep70qHaCC4NhJHuVNTqm6TB3Pv8YFnV4OmcjE7sqbrv6npX1aq6bTjT47edK
6vk1m0jo150sW8X7dED9aMf9PHM5XZlBZ75LRBM25JKGhqhd2xpF0tK70WQJ5jHDWia6nQzzYMer
CcEwrWZe6sQHvGTlXkVkZDeidgvL09CTcR5PMH7SJEP9luXuzOkYlVkag/JaV7S1cMX+zFdLNiaD
7Uuxn1Sc0x1vAr/ioE0XFbcjpjzZjjIXkXRBf9oticidVTtVRHOV5rzOT+OIut3QhfN6kak2DE/I
THS0zwMrdXjcV13D3i18yqvgnepC799656l7FYDID66RMeLxHlMiYd6t8ZS3XdJ3HdH2F+XXujrJ
CrAb+7VjsukSVXU00mlsVjvID6QpZXuvo76b/A6usgwPanTzHKZVPVtSnrqsHbjcoQ/gtTjJmqAS
V4rEQVWdTALT8lo/aNlSBy17HNUx7NVKuwkuvRJje/0LfnjhRHjctgyHUs5GlRW6vmy5r4b8uJxy
N0+XoA3zothnrJlHfp21ER3ORMl0LvfwFUGrpJ8wgzRpbWUxqyQPmBjcDszmWi5nc24DXZzMRYNs
k1ZqZgDYqS9G/lsXjILbMzjHHGTpTFG2kKuxR9WlMECm0ovXdRTH+HCPXwZFUeNaqNDVm3TtLBs+
rOOgoum8FKbPo1PigwAznqXkOHpw4tuSNHXC2bTlxZAHBcTJKUdSufPZgt+cpCXGijx/vcz93Mdv
yiwo53ofVzSI+rNqXJScXouS8kIlmAtunERsHNfVbZxnWbBeMFZbaCrAvIs0r4Dag+YXAc1MXF+S
YihI/aYs51Jmx3MJIMiPu4JQ7B2QtW1pmYI6jI7DXC/FsAv7qjRy17ow4O1vUR61WK8pa6Xejbkc
htSgD4ZmIzkWyCApEXp7CfaPkgUzUbXV9ExbSJ/2mrRU7Es9bxqjNQ4uqKSz2gU3bRNvkM8wP5Fx
qmbXwQHWFvXGiVOmwX39o6ja8RXqG8oY/5BLbIbVak3QZLak2MxDeqYj/iup/abnlqkSXFIwBgam
CNpKavYwDGhohr0pClRa6SzJEmPwJjUfA1iQjcN468p2LFroK9Brh0nayoh/Jct423IBS/frjYBn
YQWKS8OHLPCbgwkTbJbnC4ZiH2rVbKqZJoJbkWLlMGMPE34aBBmf5DGG0uEDCDeN77jvO3FTcZYp
mrJZgQBKehxigC6evCdbrcIr4zLYhMvc8kkZI7zGpE81ruIr3/6illevaFiY4OZJ1cHj7Z+V/Hgf
mIKoehVHfYMNkDbQ04eqEH1hToqWLhB6iFb85D7BlDMvwhs04HmnEv5oqG6dHFwNnfdo8rOWqCXj
GHXpaRGvFU5kQEtT1NS4JerBsZkUNEc2qaQKl63ozRse4cs6zsPhg3rUYNcjgoBrjzLpqECPlvZd
K2Zyuoxy687DR9M+uofIqhr6EazAE8ccE2G80YtFw09zYrZlNNMCXy7dEMb63YoB3OjOISnd1Pvo
SOu4jNglhNzeQgpj8RzOIlN4l3V62/qjQoN1XvFHV9OOxcdByNuqPFsjHvv+JN8YrfB4LsYOMY3J
+cZ84GDJ8KGY4mj4gFFxC/exHBUrhDc45SReW3DZ2wujaftgEw49QCNtuIVDs/Jt/+0ocj2/G+u8
zot9m+PIzI0eKMnpaWWXmLgL+ugrRWmVi0+eVK4weMR2fEErvAQZoMPiZV9UyPMTGVYRvkPlVspp
1w+Ba4s0tHmGxXmp8bvCnat7cJs1CANQNjCTHs/iLt/CeUR+xXfVMopS7isUi345p8rWvjvFcDvE
AYBasbqZkszmoA2JIiPu126w+EDRyOurZhjx36WZQaLxcCagigZw+fUVzq5lIAVmU2J1ovNuuhVt
5tEFZMu6+f6sAOXl3tMhAsJIo+tRHtcNUmxz7IM2U/aMK6Qq/z4UvgTe5HXXVdXpE51culqbcj/q
Gv3ux4VZ/B7gtC811HFCP8XM0MkaCrPZXGXrLdWym907HFLTszh1j6J7lePg6o72fq0gUZXPlh+L
NSRAOWfYpj7i+81rwFdtLv7In0pb4UxPQsZok9cVRYQPAwfH/UMBKjRIinoFr6xYVLUqAWWxiOYV
7YnBHWIhWw+Lkz8WfvVIsqyEY767H9vBZNFZnuFkXZCsj9RbhrYcrOHAccRpOclIhda3adA7tamr
QUzwi6YSWzw5Nhcg4fNKOkAlFdmCnGcXIE25R6+3KW8s6EYVRKOs/h9717FkN45lv4gTIEC7pXkm
vZVSuUHI0oAkQJAACX79HCrV06WsDlXMrKcX3dWlVD4a4OLe4x6w+LaDADO81K7DXX5a0J5x72Lh
k9bNTcraHaSUBsfddSw4i+b7ADCW4+XKW8/Vh2hRYTcVgC78KAC5jwH3NaiYj5Ech2GKl795wYa7
ioZ+Pzb6kO/LDQpKH4vv7Um2swQSzRrSMHuxbGHP43uxmcV71GimgSpsakyjV9RbrC9vUdClHduA
7PfA1eCh+GO83FGqrkG/is467eWiXqPU1aP/JYBIobuJolE5fgjAzc/ej6Xx25WXONFYF2ZTB/zb
y5POj/UHIJKLmJ9INbZVlfPQsXp9WGL0NuO31DZ2pJ8mngCaOGphbJ/mHt0m8WELDA1kZnA6rBj2
fV+ip4zjMDW+wSrv25TmFv/Si20WL2Cm1uLXnby9y1G1AIhz8Opuv62f5abr7F7/Ulft1QTd/755
m6nff2L4id7zlu7/Dmy0h59wldt/kDOgE32JyX3nNpqOK2zlCt0iv9lm56uyxUbdd2Xa73/ya8mi
p0QlSqH4xR+94eF7OfWqXK9OszjzqSbJnanjagHnTwag54HbeErPyzjsu7zyoLsClg6eCP8D8R+q
xbgRrO+AgH+4AW65X7lowDS+/vqgUKc40kYsFe/xbWIbmnaLRdYOygT34q1gQSuz/2aI6Xcw2uvG
HYSENlgHQdFX/Sh5Vo+R8R4NFEK4Z8hJWiylhlZ7G1cHKz4jtt1+WebnhvOkwDmS8dDsm1zRnWYs
hmXd12TMN1DkWVhDlNmXddthNx7eHghw4L3oCTjA8HsDqOTay5qyLk7+Afh6N9ADy9kNEgTEahpH
/t9g5XoGhwC8mj7WUka46riC3OtRLxJldvSCfQd1ECXjKdhm3K/9H6a732e7/eOjnTghu8MQn/9u
sNVmld4yxYCq3kpjCwx4f/5gdzpYM/+Hj/5nhgq7iUC4gM8CZIX/jvax/i+C+gVq64SjlfzXGiFi
lTKH+g66lzgFZ4WKHNX7SzVNizcsAx3glf0qjn++lt8hhJAQrJ/ER4xLBDoc65z+fi3cMgr4tq0e
U7Bq0WsT+ns/Pk3wWZabROv8T8/57x8IZy2AAwgnKMDF9B2uKGpN/K4nUJSvAw6KSuDE32X8KHO/
dvafb9DfYbt/D+37HQK7JWEMgw71QUe9+8C1a4NqmLvo4VfFWOptB+0dtDlheFiDKbGHVvFN35uF
uRYCn2Gv50yjNHjTFuA8+ocr+n2l44owSsEkA2o0DRGw89604lLiLbFj40P3tqkW9HXY46sRHHUd
0vsGrwCCU4edmTIcDmgtvHq/kFax0Wy5HTHZH8KeyZBkK0qLy1HqR/w49gf3byAOxDyZL298lnor
s3++ifevES8OWh8SgjGBLT15Dz3h3B1nunr2poZGFI9z+9kIqSkczL3zEhPAOvunPfOfPi8keJH7
fyD5eQfOxiu6EZoQc/Pr2FuremwzIlFZZaanpvpfQWuw9fgJ3Eu4PwjLkT31vhywhQOJtk1783Ys
oUne30YsOuyLYRr3A+PPN7jXl78sUywI0E8BdiD0KAEQzXdQ7eK2tdFbKE7x4GkR5nHfx+w10tgw
/7QF//5ReHUJGDy43DFkvr+3ntPemSqqTm+tiA2BjmAdUSgD/4kCf8et4bdDoZGCjN8d2Wn0N53U
QOaat6tKv5IWMPWvbUUjsbeKmvX7OLkk8C/lpA80jbNYd2A6Muiv/Smf2bDGz+1CUAT//LR/SUT+
8sCBYeIRwGVHfwoGYGH+vfIRAr4oburpqDeYcKaShuuukjCwmxn5Y9oGEO25nCpgvmnWc3hdoMAP
q9nvL9FFQBpU5VIoIFJXNAAmQu56HlaVPDn0LKG84Wsj/NXlnIIK+zSNI5SOpW5pMED02JmNzjmR
JJr6ItEhIMArBrUci+7SN55RRBiS2C0fen9cr0VVW2jG0XxFjQ+spoWE5IQBKIbwsPNahSXyq3GC
+H/fjuKt3cHkkOAQi36W17cRSPx8mkvdUxwpGFn39mSx1EOjLWmC+WWgBo8brV9k4hs2dXuT6b31
XAqkLd4bUYm/Qc07zb2/ZQOsYUNTRCruWpP9C4oZcZxDdPrWYP3s7MD4LXi+sAfuzUU8WiBemHlE
REsFO4T32AtMO/aCgEVpqrxb+wlzHniGru2eGdrxlN1Ebk4DdW4j4u0gxWQ18F/3Nh+mi5vYWNTC
9ICDgQzFYD+ytp4h3c49I6uF9NnIoGqid+mYQtJbVmMUhONT6FK7ySfwIDvTht4UasobOU8gN54a
BRS8KrDOIXM41Hr0/TbvfTTDPxxG4im5CKN1oa9Q+Lo5uQGcx9X9kKatoGU7TB7BhI6Cts45TKHg
+MtBOrzbYlnppl22e+ukzdEy+mGSu8Dx5Uqk0zxtGWjypcGUnyYafG1Tk+kYkG5evkSkF64ueIBB
YMj6eOj1ywBEyDNZ8kYF/qqRI3j6KrpK4PjAIDTUXQTZ9K/+D4D83r+6Ac6a+td03P3sUoe4Exgl
dQqljsqsJlHvo8JWMsZlUCHgMhOeTZ9wuMjkUQ2p1x36JqzCrK6q5TF0TdgWrln4sQksOzWEbede
724+XcmHWEc0X9OwvombuSPAsq1+4ljUp6AKoeLH7qu/tFp1LxVpZLGmPlS1ScfmI4ZwQF10CC8T
RV6lwHYc4Eu6ipZGFXFQ13i7xNOHNl6DspWNud3abiYlpoW5TBxhHVZs1H+tlXmkfqAudeBVl72d
5jKcAI1DIFOdrDRpUadLch+reoTeQDXfmmnkRVcraPiDYShCno4XyUb7g+MD2OlBhQF+deKGPGiH
+LDgV54TzIlfIAc1R+gx+LcxFd1RrH63ZS5tw0PdEvmo4BqGRh3Q0ZR5TFbPy7olnztvCAExmP5p
SWhTEjqTi4CkdZNJz2NXAeDDg54nBJC0Mb8HqNlARzWz9JsPCgpzlq/8B0h/6+ag3OCV/tTPD5MN
AISgFBSTW80Fm+A1y8J+SXIeQ7+bvDSWpu4MZYT5OtGg9Utp1Izxq+lrl1kEa31P4DqAQYN7+qJP
IZMoAn9u71fLBOa3Xl6G0+yPOU9q+Zm0k7pa44BcTpG/r1Ae7txuZZeLFW32NYmFPQOV9y4awWpa
JKh+3/xlgbFwg9mxxjivvE+LGpfvo+etOW387TPsYZJC6aAga9y2CSu37lSXQcmlTaG2RawXkalG
aG591dw4P0YhxqiX24V17AL5kp260OuoD1QZehl2/ZoBgf4QLu4rMZzfBD62j53MXADyJE1Wrb2N
i9BJVgbxPNyoOtCfnFrRKxLQ7hXcEwLaDJHHTQWTg2dgKQBjLjNGu+EoAWBklPTz/eoP4n6q3Sxy
Mc/V8whF/4teVU+zcTVrzn2t2qzF9YEJToAFYuOt9ZYHa7LcpXSqu3zYbPu57dWWgXzqPyDJbMyU
sv59CnLjrCj8k0YTfhE0Q/B5SqL1qgUPAdMrgGB8KJ8zbrwRk7KprqLEkw1MyiL9rD00W0WCvrHN
wnYa76IlEgcU+ijK02aLTzMcq3fQD0FzstT6mcpBHS0skcdW2eizZvx5wfz+vI2wqB5HFbisHfvq
u8MDOdZzbEyJ9tQ9zjoNeaaDEUyyqOaM1Naeo1So44j+2N/NuulzOszpF7Yq9tRqLr/YzW7fDRZ4
YWNJrwMIHo4EJ0UxruP8iL7Xy8JlsFeensTrRuRwZJ3PoRgDzH1TOxLgLFtRkUjbJMCp4KU7xSCM
cjUN7VGERj9Dc8Zw/ZZe+GRghzZi0yfgheNdOtT65Lsufezh9rqsYGkp1xglF+N539wMMCZcaBMs
d8PE9ZNOkuArExbFgY7O3gSux+YB1nbrs9lcrjpezs2yMgk8KRmOPOqDAmM7lJ+AY9Lz5sHbwHmt
7zea1M8JIJ1P45bMTzjwqxM2W3y9+d4MbVXUHLqUh1dg3n2Wz33aFcnmBob1rofDVnnyToAauIPY
XMHJqjpy0Es7flKzCWCPDLftSqeBuYSASgC16OVTxba0R83u15LFIjn54CJzq7bgNrEVA2OgvW8e
p9DGXbkw2Jo0h4MNPXgRG0DtyZUImY3nkiBQpJuzfzvfgP50N17ghv+L6w0SJPPcUGvHY007Fvxm
diP9kF6897gl6dbHWbvN6S+Pm/SgQ7iEezPGs47IMuurMbUgoPxV+8t5CMb+lq2Bdx8PaaPyaNW1
LOtU6QcYH21fgop29WXfCNkUnh5CKDU5971jbKdpe3DJoE193FsPUqTjiuhNgacml0pcCGAFusv9
GJ1LHvaG2+v/7HiCjJD7xeKjRbycARDMH8IGU6lGHdFwzkVonKoBcqeTnaP4IqQrGdqnjTlOLbw9
I0nNBUWxI+ckAFNxHDs36KK2U2geUzhVWiiDqi7VmfZ41YncC9L1sWFQ82QU7rt76XxvOy4YgNuc
xCMlV0varkNONfiF67hDOS0g3NsKCcTtooWlLkcWlriY4SOf2tvOeRH8TrAYDmTtC+BHvdjVY4qG
/e08B20yFy5qo44C+Ie/qpQJaNfc+I72ZeCbrr6C062Nsn4A/Jxv8zoOGesdCKnYtOI0wF8ky2oJ
l2vRAL4t2rVZT3DW+/AKJ6SOAdW12j+LSivQpCaMXUYXsPLRTOcbL0zXOO9bDlMQDGEMECGwxA++
8vQ3m6I1YVrBcyUl91lZ2ZoamqOFqz2ZQzMAiRycWHX04LxAxmjMTOKaLkclnfEDknjN2nxFERqT
qKxVp7KwGpErUIo+9uO6VHSFmfja92xk4AAben5qxyT4XFn7um119VzV6rVKVdhmGBP6xwWak5In
XB8JDg+CIhFp0HLxdtk52t1o1piDrXWaq1FtKoshH4WRqA/7Rz10UaF15DKTNAHqq537r7CCbYdY
dqAXq5Vfg/lMSO6v0zIWGw6b4C6davYYQ9ikYSoFBoX1gAWTQae3fPOlEvdqHKaknOK4uprkIB/N
OM1VadbK8jPQ7Apu0n5Nz3BrjgUdxu4gRh4+DoL4ZTrX8lLw0LumYg0uqQKZKqsJpHqKsaiglNvP
g4nNcVsphSs5xiFckNSOU6lgpLmBrnGZz0ovPEunhaxIN6jaPIgmq7LU7zm0rRBqmvMU4eZKB/D9
cePI++Lg48djC96v0NiUsGU7oW9wyuPwbyLRFU2L/gKXwB9w6jQHgwiX3Ayq/tA2lf8KRHA9QEyU
HiVJ+0Os4vbOa4nObR/VL0hZeIarHEAvBrdDTHn7SS50llnIpPzECNcXhjK+ZlyvbZI3AG0vuKK4
6YoAeW9Wm2MIZ7ctxpILu/jNV1Gz+FXwyn8RPluuLBjlIlSjPDNA2R9AClBRoKatKmMtGa8jzhn6
VliC90UYfA3EPqS7od9P7ZVOXyTyGuBXjBoQtAC5ZXQewqGR+aSbdQYHtkmAmPHS+jnrUEcyeLTa
8LpTE/1S1/UsMtrhGrK2i+sE2TD9mAOWw5qokUZx7iND4wIjvO00ei1RXfRKzh8VprY6F4ox8oqD
d9FZ6iWLPXmziIpZtd4JJlD6vOsZDv5mhcka56nbMFzbL8YmCscDJs+DNBwqLclDdgVKUV8qB7FL
piu0NFfrZNQXQee1ySfAnzZrbLd+nWeHvYJNiTnNKKCr35CLgD8EU2jLobXsAuA5/JBLs25o5iFn
/R5A2soPfVzPsD9ifss8tCNz0fHRC0tvRExCTjYbfpinrvsUK7vC9cymoiPeSG7MAlMqWL8khVoJ
PVwWzUvdHRc0VReofgO8imNdt2jlUrSeUJd48obBne7lhu8KQdeTUJVaWTgfoJTBIsp3O1wbCHuo
bASKpxc5AidmGNb2Mdbm3I0NRU/NBr69DJMZxC2V/jIVmCq4QElLI7mpXPum6tzRI7QdgtvIMJ5k
wh8b9rmDnNUbcusla8sPIPLESq5FLSOZ5pi210DB8l/3k8lj2MxDV9Tg1ZIuM1CZB64YrOO9uHQJ
B6STTwYDmLrrLFArlq2Qn6fmoI0am5eqEoGsigVbBfQOXEJs0JldRxnNhwq92oDoCOP1P6ZxWm2I
iAjR9EMZjuAAHzmh4ISOCgIuxAdoF8Ctf9caJfAeAg8yLpj+jQE3AY+2xu1/h0M2JniOUzu4IlX1
Gr6EOqT14xuI7KmdCJm7dIdsqc9XdYmwul1SAB3DzqJgH27xtyrgZI2O0Htv2G+jP6XNJ1ixa6/O
hgQAnIfJlrdLhCMC5Xj+YGoACsnVjIZyvUHsCHFBbqrJjOK4gXXD28KR18r2C0vMYPsi7Gbjhktm
cHtbhlR5SicEoEys549sDlUTlREEtA27IMaMTkIf1czocTA7VONBIRkC9dibZSGgjrqmEJmhdVcp
KqZLG7D4SXBs5rh3TgEdtkB4mxxSL9MtQVkNa9B0pVqgBEqBHQwyudrQ+iUlh6meg52zPFUm84Mx
DcrYbSw47okuH1RiumcPqp85oxKmuCww2DslVDD9NzIIJAlAlV9rUcpoSuvCauhn1myjI0jRDbbd
n+r/i7Sp7B3ip+wJ+HRzJQlnuaCRuW595/pSsR4iMpuCoFZe99im6xKfR8QUxBkblAuydVjEcNQz
gbpyTdQywDRkxTe1ES5QWgPYsyOco6aY2eYepsZbVjQIXleiA8WEyFsVhkcdBXNf8D5Zv3gbXx3M
9BXyEh4S0YiwwJcoDF81AbGeTa3FaDBsnsU0olu/LtFO6Olk6lDYb5W37ogLOmo65JuoqwP8Y5Z7
h974CURDdEyHnJNAyjJwZDr5k4w/dbYLAFjGnFYyB6DYhJhQYzfd9ElETEFJaOYXSDIg58i0gvov
h9ZktGiQfAq9E8CtmwqTd58FI/rw6xVE4JotTMRlLKLuwqsQzDFBEA7TBzR/qoekhDozFckQpqDK
vLk+wk+BFxOvlZch8Go8wa0/trkBYPZlg5ACa4On98YjEve5qUPkIzAGQUprEaQ8QaQONB/fPYiq
AB62qrryUIanVwyXS30ft73euy5GmxM6mOhCI2+s+YISydyR2aB9kAvj15BvVt8q7ePJJ8u2QkbH
DZCRbWvWTDVkeU7W0NwtuqtxC7DXgbWOe4lqGvcwUYgwffABH8Iw3srl7AO0aIoFmp2PCwvgbwzF
FJyGoG0hm9Th48greZjpQF4iPflZGkMfWetug3Ng2lwGX5a7gdeTNgU1k4XZrBsg3E8bm9pzFWmo
5qZhg0y14suKy027XbKBaThXQ+zoAcwV+F/CYHgsKsssSq8HHwbc7iqG7JFV04imYHDTNTPKXFXU
h4GbhJWKDxBoqKdljWeooecBdwmVQvwKY3+CJAo04Lejt3e8UxIgCgI9tUPki+ApZDJibOoCB3oL
RRjgkrutBwKQbZFSUSkshH8FI31TbuOKv1OFkPlBztKrwjL1Y5lqONr5tOZIHHCfYlQLe7nOg1ZF
N9rkYQr1jAQdLwxHDAQNUKCeymvWcXqZ1J2IIV/iDikAPk8vPa+mX1zXiIvVUxMM81ObQ5tGP8Ot
YwbwH3Hq8iacWp3DKt+4wiyunbJOJzMvTd0kHeqvZt1l61MXHuZoCT94vFbrDZArwQAGyN5lner9
T00KJUbWQyByI6F8IWW8hA5DQUrhthg5QTpL77f1kwhXveQ4N9HVoT8vaiQ/JPtzi24XtgCGZlRy
ZIL17GWE+qPKrOk+samXL3qWMsOXiAB7hNITAq7KYsl3+lMF+3+F3mr1cg+dx7U2sB1NwF1eh8p4
Z91iUxe6EfHtbGZ5MYcjPCg6FlfABeKTx0nyAYhxE2MZVNEXRTeG5AIyPVjt6FlMiJvKW5sse7dG
ekh6BkA88TQlp4nVQ1RsqYfGqW/S9TiE1HYPcPE2iGLYpkJjqQf5yEJTon3xLwcna2gWF/+l5m59
SfnsZ2oyBJbOUCCHreM/IHcmBcIq5ucE7f7RD7j/RUIZ/0LwV8LMW/HgYEV4gRcouV4hPjgqO2PX
JeYzhNPznTLIhsqSWRIf+2C7SysPBnbtB/0R54FGZkkysQKJA5dA0byrZaT6Ywuwo0hWDCpI2xi2
bK19+cFLuuCxrVnQ5wFQ/bNSgw+KDgpQwdhXZ4D+61Io4EH6Cw4o0VskR8FnE79gopW9etDBJIPw
dm4RPrSWU5Lsmik9wpcN8cLq2n4E1wAiVN4GDhIfd1woPCS0YJKsc30mpu7b7QyBuZufebMu4ddw
CKQ4tTLp5yDngSazVyQ2DBaN4iWgsgHXBt1Gm/pNRAoIAv0NbWNCXJNrESFl7GzcChQTyUxreAiC
YUleo2GYUVRGJTokEC1xWJOwQJ8H/UThuaiqILQJoP2CTBptPNReDh5tbBrI64MQEtVaye9k9Fw8
FSBaISAsJ7UgAQxMalMJqJhUxXdxO9YgYpuOVVttZLy3LJkxwjRsjbT+IJOF27YAQZxg7oOVqVkR
vdTKychiWpDZ65dEMTONX4zYrO8y/BbVuHyRAVqybFM1KsOJw77ZpjkQ6/1OgqgiaXesq9XG40fk
Xmw0zBqe7DlL0OjH0XrpzRMG5ssWYSJdhDy2NInt4c/03O8MOVhDKECQ6LhrDkCTw535OzcHqCyZ
CdwL33updm+TfdO4sHDQIMoRixUYSNIsWT0YMJoWFN0/XMDvdPN+ARAKwLyLkHywhCCFfr+AJnTw
RlVN/E28XUD/pjzpRdphxXkSvNgb//v/aQ7/Mdf436kMu5kEopP/0QL8Lc/hw3eEPw3zXxMgfv2d
f8evYvPDh88gHorwxuCC+lf8KvuvYFd/gOOGxtgPI3zSb/GrFKKQGOYhRPJiCYC0/Rm/Sv8LzLAP
nQ6822/J1f9Ks/il7vlT/Oo7tn3/HgUkQ+zEPj4ENpd3aznxrYEnKYFRN0GT3dd1krXV+E9GxX1B
/oXNhjYH6gF/zyJlKbw5751e3ECkBw6Jn0w7DD7a5zTJkpXL12FGfmEP9c+520ZEQ8FWqT795X38
uuO/hjHs7+tvHx5GBJ5zPLa/CwqQVtmtDFFIMGemUkDNPyFacEU6aR8S8YAmQH6uILyDcnhoWIH2
rPm+QrA7lJGOWNFpHN8OEV3H2SZdzhB+iCgpWd9O8LvAB91xaFKdVuVUVdu1mWL+0EfdUvwfbmIP
kfVhWg+xkN5teaKDfUzZUvDqK8VJLrdD7/XBuYkXB/UswWwO+SorPYQY5T7ZdaMpYibhenS4Phzj
d9FA1zuJEysjdmuOaVpvB5uI7rzCXXtIAP88IbZiPrhhmxHY2Q/N8c/38HvVCn8uAkhxIC0C7YCv
kXgnkoESGLGO8ZKeGobQME02WHzQjRxj2f748yftoqn3yw3yGMShJPu36ryvj6EFr6h8fJJFvNIJ
KVt4eVEyXuiZjfdog//JdP5uE/28M3zXErCyPREWoo3f6zH1EbvYex0+r2r0PSoK2mKDPKU/39V/
eH4QIAaQxUMNSNl7B2iqUS66xUtOmi7NMcFTUyxtoFFPnv78QT8zXN49vxBqNBSmvS78rSi0FRJo
FqzBEwXkdd7iiYKCwJrBbL8Urt+tJ34dTcgHmcWDswjTUzBkF6Bm+UNthu2yRx9/r92euBTZcMqU
3xCEKvpsO1XgsS4kct6ODdbms63iweVsI4GHBgABi6Bi8SGrCmjpg2I+TTSaPi7R1pz+fJNv+Q6/
3SW+Ge7nt/vBUouvBwj3Y/4vQkdOeYdZU6+nBc5KWCQx1sHiM509mEsPUkw0i5j8sXbaK0IBhBGL
tz0huRSgt6/mA7pEALmiWTB1ASUdEfX50YdO9SZMXfAaL33/MRwRvOgv9NFP+xHYIdgxGHp490SJ
gFxjwxcbzrZen9FL0AJfO+iOAhmP8GC9opyJUzSH4W1laHhCAAZSmqK0PvWK05Ih8AZmG4w5Mmyg
iEX673FiMnlCgFZ7bj1Exw3+WKMBrPhXxNxFeY/Yp3OgNnurgIiOsNjFwVWfjN3R8igslQX2FwUK
CbQmkrC8+5AKCS0FgMch78YBTh+InG+Rl+G+OTS2ED3Uc1mJmR1DHmC6aqOaAo9QUeHFW3Af1ow8
KTP1H+OqFj+UX8sVtpTUuRxWhwEYqCQsk0O9vsTJIIq4p/qExOXu3Lp2vdqgLr+NkF9XzEkDpT7r
m+XWzMP4ZWi78DM0CaWHdMq85uK7J7zk2hs6rwiqBr6sGBqAPsJVR/5YCpqeoaIeML4pnlEgOTOc
IdrLvHg4EtVe7c+zkF2rcoaI2GySy5T5PfsU1qBagrUm50ogOQhqFvfsdWKm+FOy3fjIwkSeGgia
kuB8yYFtsyMgquQMjpd91jya7lo8p+E8E5PmI1TKTyKAygWzsrYdYqNHxj7LUcuDqKm3Wx2SPgOm
o58xtRtot9YFr2ZtM4R4V6fFmUNds3vKe1OittnzDB4wc946J7Ax0G9M451roCb3TnfXDQ/r3Fus
KGzVmcJwobO6n02uCQIMKSImSRUEyKRcq8ehra55Fb2i/ycn5N6QB+5vAM509BGQ8mfaQ1SyIC8U
ftYo/TCHHBZArf2reDXLxRAKWMzstuY9YVVm2hF8tiUcQLBXo0QZxJH2A3gSRKFdekmFTIcJVB4k
mPyTh9RYXMzKDzUVyIgV4CwyRJ1YLC67xAWOIXFoqiQaCkiNmgKaQHrU0+RdhpuUV2C8CITwofvc
LhO5N80UJ9ngELqTAXZWtxtgPpSpyR8vHSye5xoZfScfloZTLLFdIs8h0S9LYb8SpkTkZJ0hnmZE
iGjN9xRnoHE2qF5a7ptv0Ji7F2b1cgFm2SLdMJ0zW6ngShMPOoFZ8Bx5jPZswCbceg5xU6YDrQf2
u40n/zw0abyNhT9GQAtI1cPYuq3PgSXDgRGKmVBUqgw6GeStM6CXGEL6/GgcruDJnjJM53MWSvxf
WOaEKppoHS9ShTTCSBo0+1EyAbwn4sBb637YGZL0G9i/uoIrNAXIuIe1A5mzhaI9UqcrnBz+Bjie
EqNKYhda4o71RQx2slwgvClojeSTbSbTxw3GzVuKjXrjGjJC38cRCwV5nbTfoc5firQj28m1rf5a
A9c7RLKJP9SAzOEljf0nj6C/6CQSO4VY0J1YtHxSAm+IqrTF1f206BsfVsiVROKhq4LxBdGXohAE
BG/joS/0QuWOHYio8xKM4qCq1HyA8K07j0B3vm1eTU6QT6P2aNzkqNB+RZ3kF1sa4LocUyA7Nn4R
g2s6uoXFfh6xECGOUIqUqba4c9HUtynplyI0jJbjvNESIEV1u8WKTxngZfwdmnbTxyqKQshYENC7
CAOg2FpkYHIvApIzs3ir8lm0YckQaXbrozDkG0yIR4XMzhPEkF2exgYCGBgMcsWjNEMfqS8sEmyQ
p1q7H+iB7YcG2HXJJB0vWoepOkNvQ48+6ccjH7zwEmo278HhA+qfMbTZxmOEH4euDl8XhNFCQxEh
eBnpH/gnUZkHTRDLrPeAZpKEl5PwWygERnmcWgpHEvpFdhmu5DiPKAq+NuwGekekP+850AiujnLb
tfVB7knRcjBPPscku8wzPBgCsZ1xQ+40HyBpAP5sjyCQkDyNxx+LrzpIxvpKT/1/s3dm220b2Rp+
ImRhHm45kyIpUZZlyTdYsmRjBgpDAQU8/flApzu20rFXn+teyY2dSCSGqtr73/+AO3U6OnhyqlKO
i66Aj9BYJnySICxgJNlqxCK69E07PkNQVMX03bDofw3rbxpWpG36LxvWUwIxlX+FSH5sWv/8uT+b
Vt//AzGCYRumBYf+e2f6Z9MakPIGCIRejPr0z27V+qs7tUi7RAVCTwnjFPWN4/83boPv+0aKMspp
sgsgvJPa8d6sTeqdH1MhRXsmadNJL+gWrHSgqrQBOowVIurmVdFcvoLQhodfF4ggTu/aCHpjTBOB
eFz6d1t33pX1icecOBNttseodTp5UTZtNLOFpToVpEw4HftPVyNJWZi4daQLox4ze9FziB8rFO8f
p1AyZIVkYEZ4GsK9gSgwVs0yC2nEmsSm6mHu/DyJjJEMY59E4jSQeKMEwhZsBkY3nXAu0K91UQil
EMOsc49Vwlcv9Wfj0CSBbBmjDF2k4EX3M163RNeptv4wqDuW47QRbDCsfJuS21FzNV6q8sjXdMpF
iPHJi4VV1obOOVuVUrP2oxxTY+HGtlbimIpfrWw+GOEktYM/25pTcPCU3iBgRe5mCDzNfNR7nALW
hYxUk7IdaM5zTJUHiy8YoFzcVB2dt7UY8JIZ7mrTk/Hslz5EZ/Dl2KfKHo3ofoh0d6PnWVHbiyQq
dH9jMhPRV2zwlrM37Pn/jIw48J4UXo7l1q11F5YY4ooFQmSsvcEivWhlDD5ezUsjY1vGJLxwQxqc
RV1GX4ppjG57b6zWFV0nw0p8IOf5W+0/TVJ12hpHS7UeytrbSndadfwJQW/fvDpp3Z89P9XbZaaj
B85x5rlMiVmthjDsn5r8EvjgkUVT6Cej9fMto3jRMCJhA3XrG5T1m9quxV0dZyYvjPBQwknoD9oY
hJfeHdXHTDgzCg7j1cvLeAmoDtOHieBXrVTpPZiMwoVA1SuIzHQMaPD3HSLv59SZSXo4FK4Sj4gX
5hTdwQ7zHd4g+X2cp9mlZ7pCFoYWeUt8g7aaMbgHSDN0++ODR0oHjIkgaL84FT1bkcXeSllWAmuJ
IgVWWnHj6XkL6gtQTp+Sf6x6t1yQXhFv4fAFr26UzQ1N2KR3PXJPKESGg92EGPVzMPpYFnapoR3K
2OWnRr3ULzhPgIWTsfMIBRUDfGE+u24koqVpZ6+J6RqP7hzdYjNN22A/bM9ld89YVRHrYQ1fw7D1
XyaIMOtAYAq4YE/oXmA0rNMpgRAZD/YiE8NNb3MC5xBSNvjkWAW1RoicMrKzfRUY7imsPONZobJl
9lbC5DGh9MCFz6HdjcFS2lWLcUwV3ZKYQfsDa+BmiEd1zhEs74pIOBeSWrCr6EX6VJdx+swTzbdK
SetGVlO+k2Upztlk568i6txwGTaRd0gaa7qrna4/Ft2ctpIIA+E2fuL3Y9qhkIc2zbZiqeTkI+q8
BJPuwpBjSexy1YTaQvgJPHs3sm6lL9tjD+vqk2p1yAeI5zHiz/rk1MVZ/SAzOXxI8BY4WFlU0h8l
wXNlj+lj07vdTedUgYaIy0txq/Mmc2NgXMhQPAj3AkHztsMhbQWLwN80de98c/qm3gLijJ9USvEY
Bdq+zESxp/4/YRWODkHG+mIIsC43ymhvBuJmhE67xFlhQWaJfIMfYeKEVeY7PVJqUTqiWhlMTbdN
AgudIlNB+nLrLwLG/41eDxBIbSYabmkPl7Ry6nMMZx3femldsKAYnySO6a+YGfcXbkh4C49Ufpq8
0Vj29oBIpe26VVWodDfkdrrFRd9lsCmr7CNOC/mWx85q0YZ6E3iZeLM0t9tOOMS1CxXqzMVcZeMl
3uD9Y/QlquBidJep2ccLv3XMb9NMQ1vgASh5lcdqhSHNg8Cp5hSHxR1zquBsVmb0NMtTthMDb7Tz
o9YvGNDoJzfJ9FPQZcFZqwrzMqoe8ojRjsERN5h8G+TqNq8lVHGDhXqQMrJXkx2g8A+HTu3R6EQH
gUXWijaIcY+0ypOsO8bJFltNmZc3Ggk2B7O2jQ/uiNvDkuFRuGxrd3yN00E1XLSPO7ps03SH4rz+
wqyXejvNDpwlwTqsK/NzKvtkn7cOHv24jD8YTdreR17nnU0SPaCO1+B0cszqj20pg7NyvOnUt0J7
EZVECWoYw32eVPCLWD3esRwGAAKtwh8zi2pnV5bOAD+g6Ldha/Rn2hPrYOZmufGTun4cGBLf0cKF
q9Hupy0TovjCySae3UBWX/yu9L6NSdblEJuoFnEoeYNJn67tZAow5xCbofLlDaxPZ+Xh9ovHMN8T
1VCr7X0jY0ytt3n/Ah3YyJe9CdV+6U5aeshju34M0WKvK09Ue98pEho4N82+lViNbFpIf5/w7HPd
NRSi4osVRf62rGEsSrT0N71faoucoeMeA7hdIDPYglBHOU9yu8vPna0Ht6lftKfMGLs1c8nqUFda
dwo74nygVjnnIYeSpPWl/ATED+lVBH0LjQxix6K1BnkRUQs9RgvGr7olc7kI0FCXi4B7fJMPnYa9
k+M+10nF1pNplY3Fi5aW86YtXCQKYbjGYKy69bLSOid6WLIt9eMq8/PRWKSh42MATxAp78SQWHQ3
cO8L0Jmlqjz/hd5LbBD9v9hQY09aVDof/Ag1AYCydRwga7ANjuYd7FsdwW95mh/goc4tYwudZ9mP
KK2CtDZP0u/SfWRWDNPjsrqrMP746PldD1cdPU5dVw6NK4JylMTW2nc5HPMMKgOTK7EfEahfGG/Z
rzSmcLeNTkyM8Pvgg+GkAlvp1tzA+TEenDCN7WWhCfsuC+uZLtqr4JJHpbcdYg7ZQbeOkFcHHnth
66daN06d7apD0Jk+HiRa/RU7fLNbYKgT7MKu9nYeYrVlm7dQ9cOxvRNTLu6yUdS7NDbNnWLAt5wc
UkOGYQomLB8a7xO1gPmgrCCF6upY3je/0ORzwUBlE2biyalzXEzS4ELr06Zcn95Rdwx+uzPZ8qJF
yhz5QPoEXvylSXoFFqyYYnlaPb0moimQ7sOIh02tAPI53sbMj3g17ZZxe+bchdSmGyPhsJZuhlPW
4DceDGIo+ulSsQmfrUjWq7ZuHkkhKm77obfxAwNq3XLelZvelhl5Hdq40eC17AjjITTF8BSngpc8
U6C5LaCPTwEyMrgRabgEygtMRDyNke0hgRlL3uz8bqhEHy8bW6VkSegV5WvfjutMy4Z75sAQV0il
2bv6WN52WT2wTiy34eUIGF82U7y27czcZjrbCrNOimk4ygrmiakPH3o9jz4SY5R/RHflbzAwwJHX
Cev6VmRdcDNlLtVK5IR7Gl9ZLCI9hX2aVZxgQEjhPpF9M61UZKWHtAtgIiW9kcD2jIJqV9Rm1H61
ChCaIFtkuDD4cFrh05FalK2A1RpiduL64mqtdbLtZjwHdWOsoOjS7Ee1OuDGOK0jCv+nyfVvUtt9
AJQdVtJEhYFOnau0D0XmGZ8TxjoLvDyIWaL5pyQr3CeAInOP8wRMsiEGO5YaNGNremni8UviaRdf
QG0L4t5dES6CsUKd6MuqK4etbmkE3zj5UtEi3CS5Uazxq/3IY7E2cvRRJLQoMa2c4kbLk1tIStap
dexno4WFrXo4NlEG6RgxRrMURc6Nmc2fcsLdFjhQ4pPu2eUB8bK1KaW/AZceD37S38ajbT5asLqz
pa/w7NXdstnM/KXlhKnaMsyktSIxpVtUMDIIoIHmnKTWM8FUaku4jVgSQrdFIOLdKjfOCGkps1PJ
6/dCAseaWXb4UHStuxOQfBAUtPopJtcH8HKwlwgPOOZwwN4nwvM3pC9NCGUYuo22xNez6qIzdsOc
7Gigbxno5avUz9fJ1BX0CaLplq7w2sWvW8O/t6Wu6TAZmQezrk9/+PPkIA5t6Ecw2/cp/mWUcMoL
D83ks0s7MnMxTijpSKmlSo5sgLpff/j7MRA6N9NlhoRI2rFcI3j34QwN4NVPItkbqmpeJzwQjiLJ
41s/C7L7X3/U+7kWH2Uh67KMufuFPfPuozAzS9EeFHyUMOtyzRrBQqUkAfTrrz/nnWG9c7XgtmFU
ADjg9/A3dw38RgmMy7xoL0U4bmI86/auZM6Zkzl7xzgmC459EGPLOtrFi/AiOuphiuJbaFtzcx3G
fLvrV/offvQ7/AjojzfunwkP56/9y18p5d/jZq8/8id0ZBj2HzpDQwb9V5fgv7IrNB7uvyEj2/yD
+SKeHq6JtbkBYPRvgoNF9CzO3UznGKiaZNe6/w2EBGT1M4yjo/6ZPwYgCRYGm8m7tzju4BNBNLRO
Xth6j+NgO3viqbRm4Uyw0sa4qEkxEtWBtVYbi8qo+zUJn+0ajlK+lWZbk/elS/PJiafsjASiiW9q
pKX20hS1clayscdHq7f7py4rmlUXjdMiRsSjlkGPVm0hurRbse0RzAcR0biXVls9l33Y305NECqo
TeUg4aE23gSlsBk2SWHjs8BAB8Q56+XCE2O3dQO+IjbGqcKeMqpsionRUneQzDx3E0MLjHasrkmu
ZkbXl1RSxCzyMcveaqqJW0SPfUFXWajbMMQ1YB4Mcu0FVF10GQi9vH01Nva0mQyJ0xryQ/6r1TrC
PEg/GsEvoMbvI8S/OJAUowIP4gtW5LxNGmOruiC1yfRFdQnIL7uf0qy/rXN255SUsBVqfh/fprbq
t+lAAAbqwLJeplAYoh0qELAwX2blChMd1QmCD8yPnRCdNwlAFr3q6l1oOIS8YQwRWd6WXZYhqdck
+qSvFNTfEjlL6aszOHxRGnAxem1vt0YlUV9FdUwnB5OqLDPyBTBpV5+wg7db677PygyPB9fg5HOS
sFfnrO4hG2N/kDT4IVZRU2wEmARjLbgzbrR0tDgNb0Nj1DZ9WBkkSiErtth/agnR+0i4cE/wG9gU
6l69HYzwxsQ9LVzVdtvPL4437SZqJLr9q8l4Vri4UB+6Tkqhn42xSDsLUVzb9sNULLLBHFrjKWKD
M6dnlcwiurduqLuiAISfpjy8/G/DuwZ1/27D022fyf8/b3inF4qzl/LtJ7T8+w/9i+LFhoU3CsYv
uq3rM8PpL4pXQFa27lhAyfBDfsLMyd5md4MgauPaO/t8/LUBen/4OBgZ2Pl6Mz2M//RfMLzm7e1H
mkOg69e9VEdSAiL/nq2IWXjaFHE27bzIcKZF2NvlMVJQLwoD/VcEUXv5w+35D4Srv1UN143dBy/n
m+NK/I6qhNAFy9HJHXdKpbBhtL5futgg/IZNxPnw/rJ8UmNmQir0Ocqhn2uwzml13OZj9Z3ewwip
vlD5k0zn2Qw2tWGe/TKktOtUu28HT3389UXi5/23LwBpb46QwT+GZ/w+ZAcuE5Xx6HW7Cjc7RHo4
N22Qqek7vOD9oyLc5qBS1bQIdD08KkRoMVNsRKKhGeNA/UCPSLdThf54aulXyQk0cGrwMQvYYBnK
/8uEHyDIyjUSAxWKVKrLsJ3ZXP44fqu7Mbu3Uj8DRvOnXWw7DCQ9tz4UrlM/hUmNJWFfgPiLiK2F
LXoWfHE6MpHEEP0BsYQ4N0NmPJiKSWtnMaAc3Fa8+EVBr8FePX6L25khVub9Yy6h67SIcI9IjYn2
CBPfgKfLoCNmh/6MjaJ4NnDE0JcDqOOxrSndqPLC+6D3ChxaW6FXe24VRjrRbPiFEwMFxNZEt4mn
xkwv8gDVH8ZqRL9N/MqtU0/zEIUwDqQGACzCg1dVIfSCOe8N3TLtGJ62uCtibaySXTjPcK0waQ4Z
AphLW3RMgaWn6ADgL13nugje+8dUL/rHOp3cDzwd5r8t0+fSpJuSDNVfx4o5dQQESH5iOX6Mu7B6
ljo5TcyWS33nDgFraGDOZHVlcHQNLdnVGCZ8GyTcEL3hR0a9aT+5FfLzUEX2vo46cpnzqf2UEkV1
xEYtOBYFPO8ZJLHTBXYsnJ6unGha8xwGoWB0jHGAua5qM7sXbhxgXxjNWCSVvh3yxyiD0bSMmOJG
OwAj6AHY6b4ifRs/+lo3bt1E5nusNMR59GYalSQfe9UifgMgcpmci5n/18HLX3kATkwFwuw+Gsjg
cf24PtvIXvEWjfqvGa775MnAwChyXWfTMKrPiar7xzBgFIY2iF81j5aIDGKKrbjigGDZc5jNi12r
nVvMIPolcdvm2rVTvJ2DmNjSLONVvE6wjAyy05iY9m2EsdL6yg6wEVutCg1u/ionpunbAC+CmNHA
WaohTNNVxwCrXFVxiFRWD+tXmJLTqQSh/2gORbJFVAac0UAU0LKye2PwbjwkNi15HOXT5jqWbyOe
I7URt3p+RfNS9V+RY2SbKRvncxwDISjm1bi1Dd5/ii/xnEf0dnmbPQ9aKw9xAo4S+d/g9MBnSzRE
uBiZFuY+bp3Puol5homq6DEyeTcXJhOqralXTDXs/DOG4P3XzvbEWaQOL6Uy+6WKeVAu+qhNWNvi
VhSWTRTl4NzKkbThMmmJHSc0+LPWwYa7zvMaE9KsVTjjTYrP6wflj8AWgDQw5MsBHqvvwddKwJ8X
QcNQ73pxfswiaEEJ71GdldSi+DmeBn9sP4lWg79XdYYPn4V3z+iM8IAlHRGYg57sugp2MunnCuN6
7L9eIfnNErwik9htYxf0ZCQ0Zqk+wjt1EfydO9eMfPMTnShDuOe+gm31mmBH8ZwYJcHq0DGnkqCC
btLKNZZcgzyhMyfgcogsad9b2TguapgBH+kziXNxZVwucC5qVoyN3A3vIX5yHXU+qlzVsTXJ8iwr
AClE/cHB1rI7WCvahdTWe82RmB2JYuPHnnOZmrkz95R1bpzoQ+iE5wJt2ArIKSKRdIr3hZl9BCUx
1jIP5VragDA+RCu7l2+ws4q9VkZoQ+x4H08urAVDimNV9MM6d9CttHjQvyHEqtdR0qJpqsNNPjTG
Ae/aYGWMjYcBsxOtmHUlZ3uyx5MWiH5Ehhce8Pc9aJmoVwkUO2KJg7De26aer0xNobDR8QjB6YHE
kiLPv0WEXvvwQoA3ZWvDo7PL+7H0krWJ/vQmjSOiPN102LgxC7ZOC+MmGUO1lkTb7CdsjJem0et7
nbiJHXkM41J0lr+uBpgdwoJ71pdwRGKAtCVuW/rNgP/5TkbGB+Shwca1vZYYbrxZ1yb3/hU1yOAu
nTpASVpMPMNFlHf9zhSJh3QPiVIVNkfZmtjDQDTaR0NAMnweuPj6YCK4GsP21aoGuY2AefMF/Fwf
IwGOudhUHcZUbn1vOSTFGl3WokSWsSITWUsXga8++07PfMzK1E2J7h8eYpY9Iw6rPLwy3HGLhI5w
Pc9llkhsHab6vW1RIcL7pToDQpxB2r1gf6XzYxOJF3UmoOsK1tXJzltxM0zhtK5M3dybSrQrK45Z
Ve0aQXG9KGdHw7EznINwG/VxGqyUgXuBir4tmTytrF6rDkbjTi84nDh7cyymB8RAVbQ02mCnGA7t
8d0Y73AWmlY99IBDVgiIl2Ze8Lpn/SLHqGMNUdq+eK1NDlE4GiB2zVBAu/I3tdYXay3ApmnAlBaZ
mJU+eW6ULBADDRs7HPuFRGS8qWMyYGVUXHJD4yxH27hPEktZ+L/3q0iLgsfcj4xtnvDGQ3GN936P
9W4whPapwrUH77RBuy+Qup6xsR4PRMFBSCLxJLbXBM4WX9EDn+Nw8o6B6uAK2QPCUdKMTWdV2HF2
Eu1k7EWMU9GSIPfmJp9C6xm7HJS0noOlBGPXvL2Jxyjzl6mR6l9FURT5yvZKVzGChEg31TWmEoXW
bHFrcZ6HXML/g62VHm28jV4LC4s15u3MjKKFURqR8xz0OikVMd7bC6aTLfx1ReayFzv9lyo1GKlj
tE1dIOqLUl2+cknUqtZ+XyQ3msqhY6LwSj1evyJm3Nw3x6BG5gW9sEVJg8drslOlH7bLNKmcW4LE
k90Ul+KLKXytRfQ6ZvOz0eFwUCJdSWx5bkw7hvTlMTDBKokH6d6YWw5iGQ0mIgQdejHQALvwtzLP
SaYatfBeZN68BjLKBC/URbiKHCj8XpwUyzoWzu2UJNq9VgnB5SZWvJFIh4kdh+HFCGcs4hXTDfEF
de4k1jHWH+cr0w8b8frwvfhCvG88IHpu3+jMU39lYqlLnVzMeb9qHGF5J8L9oHDNgFNIwYhks4em
wvSDOCnPLY85AsCdTXO7ws+ZzbhJ4b0UgIPhKnZaDnd8nrX7cibqJRja3+JAD7PEccU5mq7fIqif
mL5SlgLiz5vyVIzfupSaBI4k5UlQ18Yd22D5Zgm36ldahE1HS5l4YACOzLpo+DrjTCWIccSCbQhr
BN6NBtJ6JQcR7zPe6H3K9ct+WAGUjNuKYutZtJD+MXOn/MWiAP2pyvdmyyXMxi0PjILHb/4okq2a
wgqrBrIfjGQAQhmBfswFyV35Hipx/b3n/scwSONvQLKO5Z0Jyd5zDLCw91iurCw0hWnd7WysHmPG
k9K5vVIxSeEIDyMKbmJ6uJou0tWdF1VkNbWOtZu66jPjN14GBLyH1urHG8zm6icpbfuWNHX1caDK
3fy64zHe4Wj0OIbrk/tquWgqIMy/w9GIdsw87BvbnZYwZunb0v0wMr5fYssOEit50mz/PFSj5y3L
uhbFMWfDIStV9ZIKalWPoLfTr7/Utc37ubtFD2GSH8WX8uy/NZsMuHguSdTugKBqa4mjZrhqfVkf
p0GDbIAb0ortcFqPlsVmHyLwfEoxiNgSRenjmNcjAIJcerByd9rJ0KnewNK9iw81BcuYeppdrmaL
ks7RfgPjv/MeBfPmdn5/+t4s6Lhi4j/IDxqT2JcI//5dpMH6DHH0n1shr1zWad1c8MOjtWMgtepZ
lJ/bcU4JgaEUrmTn/LaZ/Q9fBnNlH/BiDhZ2vfcCLZI5LJGPAwlUNWfa6CUiXddFMG6qUbE7JSV0
X6xhvvXm2O+wPYo2oL0vfio+DWVkrRP8pNaaM0T4nhTVqW9M+7lHW3tKJiu70fXC+gzPJ1YnEr7K
/qZBZrYnTS1b6czyNwm8oS1WJ+kuChLnVjdiXEmQ69+rvCCUHOXzpoRTcWPHVPNNLfF/mncYk+Dz
+z5q3A+a443fABl1Z2GSDI/FQMsei582de9AFJ6UbGBxCKULSfFEX4I7CD7+2ASUGLoU7MTXWh2O
YX0p83reU4K5bM8o6IMC/YqtJ4x1rEys4avD8WFqckxhRqAEAXLAp6l/jCYtImLXMfPPjcUU6IC5
jdcf63CIuEkJw15NweZaO1EW60sprDDXdpaVSjygHJMoenvFBZXmIxFWBhM/S2R7z53yaJ9R0qzC
af6LOTogXOktM5RlmBAc2WPx5Js3BJ22bySOK8FpTE3f6DGkEazbuOKoDKq1YhOOoS1QynvK0Jl5
U+Rf1VF032yxvt1+0lNaTRM99LJ1NHiKRSCmE/5jxZJQF/FlTGVGpkuXbCFAsbazgdUxdTQU6MXl
Y5fkn72G/nFShnj2h9xCLj4mmM7N9y7IBj85TBM3n0NHu8dq1rpOlS6Z1SfbEAJaufSdLodh5Fcv
CgrJiz3it9PBFsGpi3SyjcVQ9o5O1D+ONcalcqDpd/Oy/YQ0pf2kyAPYo7GuPndzb1fGQb5E89Aj
y59y2FJjPkjsfiL4ZG1K11J6FvSwxLsUViMfdUOaa7NECujMdHHdpsMSBt3zqiknToAOvPeTObPe
6zoX585LPHYTm52NNCZ/hfCZzii07c5DkjOxRlpdInTEXxEJiz7Vr1WJJI9gknzR0h0SJAtHHXpc
fagFUYOURBw5KpiP0FkgvnFGhpZ5YdZPw+j5R2MAZiG7KThGhmgOyeiVRzfixjUcoNtSN51l5Zf9
o48CE6/9EXnYjAChfRbnIgMfwkoYhICwsm8+q3QCC5/Ec+YWd73yBEr3jnYbYdytUcKnLwZQc8Pm
l5baXDjP31rBSjIWPjqkOZ1lfgbWkO+Neamq+azRYfnjdMlW5dRKblRTpC7BiegLoBeBjMxk1ETp
NPCxshHhwUDEMwqV9tv1LBZlhCgIrGe8ySyfV5WiF1zHQmQGsMrV5R6qhMgdT2jD/eP1NTQVEAyv
d63vlNTG01U4ZrVjfbkiPqXF64PRMPQPuKPwu+iCcwiU5HBTUGFu7h8l2qflFR7QIo3bYNd0tgCO
3PoZyJsSf0TmBSAE0/Jbg6PhicQYag1FjiASJgUW5kPvRceusns8JhUOKVAk6FMoyWQFlYLRAOBc
iS3qAodftJYTV6QTWgKIM7EEqwDZpQl5H/gv09EHSK1aE6kEnAFwN6xJSGR/UYVza2au84GCR8ch
xu3bTx0KHSxJ7ax+wi4HoMxhOvAa4Rm5bvVu/Eg8MbgNGS57bZZeoCdgW6OjDw9XpEbzqS18jpsG
B8+E31SYgD01Ci6Ix3z8Fb+5HtgqA7stq9jea7r2lTzquVzGyHlY5gXF0lV78v3VTIAuhQ00VM6k
Uoz0mUzP0pManebR79r6qTLA0Iw2AlOTc61MlGgMSYFOaxnpHZs7/Oq3Kg+qzyriwEMNFBwHj322
GmJuIVOo5hVDTB5Ilklj3dI+rVuX8rxLWdPz+1w38zbcMuS6yVvSRzAL9ah5s4Yf50AnCRK6+UM8
o97USPMpQIP22fB5JexJtm+yDqsXsuWiW4wkgY1I9VpCrqEBYCda4FGcrcIZ/bqWt/6soY0YJN0X
iK02E94LKxer/4fr2WDMwhrGZzFcLN6mdAZRe82xb71Iw4AHgrR/rANKInjj5gPim34ZFDb4WUUl
bNMOL2M3hWqI+ecikTzIAIB4P+Z6eZwsWR5xXsz3xfwMYkqE57YdGrFpporifDDYzfC0ZdpJmSwy
8Dm9ys2Hq6o3ZB97QggsnpFGhwfwC3d5hQQJnbL3vok+MyrjAWNDSpCW3UQwo4RpFBGAsakrRaHU
0ewULOxtB2l4V8McQtSl99Xn3NQAqJlrPVpJSKvQUThbLlIVVJyInMh9xtJt3mYVss8tyNF401R2
9ImuHgoKPLq5n2gVKFTDdLMBtPko5sEZuVBAFn3bczMhVm6hxiDQCSxOLbcX9HgW75pGboMi4O+z
iT13AqnXqSFX5YCI81Y56/PXTWZlt5Nv4uHuQh/vSfNbWxCsabuATFiTDeh02XnjyYPa+GDVnvzq
kY+07fjqi5Ji0yJumCZEIG360iJrcVBfTcgWSxYZfszxremVn/ve4a7N0cx7nFNZKj3MJxAQyCBl
P9RPVCWpvZBqhLUGnTagbpFOch40nU2WgOT+EQdIqtkR5l4veeCjn00nhDnh/fWP14XJxJAjRjMk
PHVswu4Fh8oe1Zy6UyakLozckm0FOWttJVS4ESYgGGYT7HdrC2/CYMNJppNwJzqywRs3qs2+SXuq
cI5sUWFdgWKvFZ9tk850mKuAEfs0wqzMSW4BErhi9LK4gO+kbz9PTRSvJoAcJEVsIbhe8mFZJf0D
ZnTVd/rN/7gZvxlVYqBJz/XPk0pOwap5eat+nFR+/5l/cTN0WBd4wyB2ZrBNwf+XF4WhB39AumAW
id9EYKIx/4uqYfzB0rDo+TAxJxplFv786UVhuX+gkGEIhtAH4Ixf8t9MKu15ZvdDM4d2hLkn3nce
8nYapPcpE3oRC52IRe0Gp6Y6DTaojPxRPjU9WGdzYHqDIodV7/sxcra2YwUfrSAvsMovAtvxZp3k
aIvoMHuGZdap1HAJxIMU/zGogcz58yZptzJLOxVuMz9xkuToRENPYzjxt6HcEfDFZ33UHRYp2FIk
C6nio9EDuE8wyH1PW8S+NixxUMU+9YCjBjqcjEooAblGEaI/o+Cdo8jdDlToA8HKjGvWvh0N9JSx
knFwmyTdeoBJizi18IFal44s8RbPZUOS8wJFUDjnj1Y1uP71XfjfqvnNqrEc3+Y9/+dl8+kF9mAZ
dVX548L588f+tXIM3nQD0Nl1aJAdx4Yy8KcgzjDtPzwkYqymeWX8y8CF5aSbNl0+P3TVy/170djO
Hw6cJ4v49DlOHZXdf7No+Igf1gyi0QBQ5rouDZYmi/fnOfhUTTN7VLqXos+LaVkmSl5IKenchRrq
9vMPN+bu+1L80UvlZ7zq+mGsd9wsdVgLXK7584dFjrKpjDv7EmuMfDGuYmiLc+JjlnSNy3hZF88R
zkkvQZ82u//HRzMU0n02G4S679CnRMsMmjvDvkwwoZ5LQsqCdT8y2F97kkmf5SsDEZ3ecEC3sJKS
76vnH6G6+df/tTXNVw7KhCeGj6CLB/f+400roY9Oc+uSk7ebUBD1XY3aAqj1kFTzx6nZdfzXl/y3
gPTrh/KqIIAEKwKh+fl2l6IMZSQC8+JQMz2UpAHtzYITG6vfIHgUtMpHCL58OJF2EA1i+rg3d45Q
zzXmccsaSfYWtmSqdi35rOGa/tt+cX0obQRt9Lpx00O3NFbJBI170QokQSuVl5b1G0LIbKTx/t65
QJwQVx0DbuA7qoY/oOlQXmxeDKnxrsjc3qtcZmrjt1AR2DurG/wVWxg4/17E/+Fd/Zkg8v2J4bcU
oKOez6z3cKWr6V6qnMa4pEbPMFXDv6T2yvibnkIVGY1J3Tu2MM6ORxGPuBLR/a8//+8LEwoPwJ7n
6gHvzfu10gcBjomkakAhd9V9Mi+YMZDqLupr4zeRbe/gu+u1QtJlZWF6A0/3veEN04uu1HVpXGyc
fu5xVmD40SdzOElI6OYbYgDyH3R3Xp06nBLh0SAwNqZBTdFs/uZx/6cLxxWN3dLwKArev7UmHrlB
rYd4MiAvr5e2F+bV0ewKsKikZGD869v8nxbJ7JHFuuQfzzFnOtIPOKohUj3RrN5EYtiBkZK8QT4F
IsUbiRjhpmhSe2/1bXVT1wlvOdMz41z0OF8skbpqw8JIpwoZVa/u0SupaE28Dqa6WR+sjc5Vd3Hc
U7mXY8oqc/xSDQd4yDLf/PoioLT+bYl4Js8Pfx/IYryxP19EShw5Xu6BcQnDVCc902ua3fW9UV0h
npum0EAsBva9kRtYYAjKsBklKyONoN6JkeH64v/YO6/tuJFs234ReiDg8ZpIwzRMWlHmBYMSJXgb
ACKArz8TZBtV9bldt99P9SjbEhMJBMLsvdZcWeGAc1nUUvZbEZvyjWwE/fifr/N/u0wUV0QEIgVx
XPNPl2ngnZw86pMPLmcbXNjrbaYghfrHRLDQwcr6i5G9rqB/mDs8k7I+IjlOZy7KoD9/YjUkVm4W
s3xQMBXP7lC5r3Go178QhLoZzfWUSJXI28RZDKaa3g+iAUxo4VNGewxLRz0Pb8SfM9KR8hxMg5eA
EgAT5zom3m+RZNXw6PdQXZMEepxnYQcXgxjjo+XzhZZ5bM7/+TbyDf78tfgmPGe2zI6FjTL406Bd
kEj4XTYnDw0TKYEY89Jvc+xHd51dzsNNTUVZRbk/IR0mxBaQIdkPcboP0yTLOTFSx+c41oaRhU1x
ByHE39MLpZcAlWnkACuS2d4YKB2WLQFHIbyXVBmfWqNKBmQP1PA2KoEdgUDHT+XWtEzejFyqcccS
4HFwy2kgO0FbP+CSS8+BrPIL+JDmOuVwJ7ZB05sjLfPS+CIo7N0JklV/0NEU25J9AMKXecHygdcx
fZvZkVMKn9N6mw2s3ycCLiub5mLe3ndmipVEp6EXr+ZBc8uhMQBNBCG8fRlrjpZounz/CecOXlPC
Xwtv01sT5p7KTXrKOcTJEquOm+t7Z0B3jepKDgUa22UgvoZeWH+0ujkzjnEgnIuVjBxJW1qJlN/C
p1lNAsi4Q//gwVC2gIbjDrUb4S4r0qhCTdHScKtKwq5DJ423UG/DlyQdWXYLxggufV45pEIhbZJU
JTu2BuHOFwMN3IqQhVdJkQAAdsBswxaQiXhqWQVkNvPbqO2iyopt8HEBlEoA0wLA/YX2WjGyMosU
LxIIkRExxgmAWT7f0qXvLhCPArFP5gY1J8RiHRwBHqUkOofDj6AuvIYYgNQ8mFneE8xYJVe6MP2+
B87ddA08OEp3XzCpZydrCvSW+icUXeizkZt18uDTp94DiW2+VaF0vzSoizad16ZvDBT9MxnjfNgs
aVJvzZHHA3hpgIiNJXpbCYIoGFjvAKC41rgYZ4OTTNAMbw5i6Ei7WdI+G25AnMhUB7JwTnVNdvuz
j4raDBkA5dz4BBtVgUGFcnagdRWr3CC2+LsAzeO2ERU4vOcrqJ/E5m1AIEL7hUwFz+Zyi5x8kbmb
q2BvmOvmZ3H1I6nK3GnELs3ZpENiM9sbzmsXKLRKslQtVF8UT580GZr0BkDWXiGXc5ibfILFMVsy
V2Qzo5LzHhlJe3Lx+BngBem9k+qzRo4sPNQsb4yIkiyJaaFieNWJ5NGvujH4DsnD6AfLEC2z57zG
riKTPDPZrw5lwGxUKfdVx0v4osDFvcmF+qo3UpM2HOYh36nCXdWnZG91vKFBRHeTHz93LhfHiaM5
s62LX0YPrDOaOpItakqInbmWeGbqp5dhmJifmc5iquqU7qEjiIH/kiwrU2jChH61TJP/gKqM1krg
cnMIOOQrDUSvo1NNRX4l9popBpNQcEloBl5Cv9GP5CSyqGfvfJ51jmQPh9wRJNPZp295EzeBfOvC
9VaGPZVWKUf+8f1qK+zNOR47Bwwh204Lw2SGteB9L0LIvNPfIRLrb5JkwmO/8EQmh53hbFEhn8QS
7iwrnx9HENkvdplTY10xGumgVyTdunucLe69gFKWUetP+aSCzJk3BBv6MV//CdRgC1A7Z/dpgvJ/
haUX7vCMIIYoWW27MOm+5uRX2JHO5Pz4vlFYig4HnM5L79VaRY65LHm0HRejrSB/cwga5l7Q3z82
nWFezZRX2mti84otrGguDCOenbVebd10LDyy6W/wrulHZC5swpumC3euKNqvoMhZzakDG/0utkJ2
6XKhxTA13kwWgCRbAGgm0pgVoTTrS2f0aGnfNzjjulUplnx4+zj82OuaPOchPLDSnZ0yQhhHGodP
CIGDX3cOLmnlOq+pD8XvwLLDBbaWzpfN6kPJd20l4u+lkfLh9fsrJEDK6f2k+3UbxMoD7Vg9BI6S
b2UoeUZtHLC541/DRLAAU3RlbmvWo0qRosoUM2VUpgH76PGkr7VEfsXXac5opbzHDOAI9RmAFRV1
TkgOSInEdViHp1uX4momOSsTVlZ+cj6xXXUCGFm3rUqM9KZKY86Agvh6moEEFFFo4Y8LehsG8OAU
3DOUjeGLJrGWDgCwu91AeNrBxvRMylgKSC6tFPdUt7TcPiaBgh7q45wRMxPhSEblO7v2kRwMXjhv
/fhKDYiW1re+HGhzIi1qzmHCU2W7D9Q+tnmqmYX0oWQh5z7QtzuTPxm/GIAk7ukbEU0WDLyvZkmU
tZUtmMITlze+79Gzb95HIkZaIc8qYwpwBXv0nehLJh9UV4m8D3VsqWPQrA8IETFTE2Tx7qbqRfiC
sFIjteU4KncLlnm85cHIHshSSfU0m7n7auc0FCwDkXeEKoalSQfiWdk9N9m2ZoF+LM5D/OxZiAc/
aXnRO1go4Lb5hqxE7JGRGALexkB+eD/worKAYCNsXlEYhs8ZUzdYCI60zwDuxHPjo5/Hj84ubQEH
jYpsHZ3vy+a8QH2gjE6J3A7WPvXituGltoDw5aMFzG4cOcmsdw2+lA5hwJFPuIWmyEu/tkWKLHZe
25EGRFSnsDZLdCaP5jKj//DtBTespEu5cWXCdJQVvFyISJgdU9m7Nv4sS48M8Fg/plmMB13Bk74h
G7Ksdm44lu4jPPe1NaacYokMqvyv6FIZNfzq8KXWJsdWwnSOBQZo+nUh7e5TNXn8bpCSVvcE1kwx
RGLQgdGyLi5Z/j73aSs3Dk0imOTZiiTrkRxowLI2qpvz+w34mIvWg/uUW8wL68TaJz4rzvvYjRPN
soZPCqWGn83fgdPGD+/j07HG+JBTCDhMdecUt/4YMETIJO5vHLeYTmmChOTvA6JSVfCr9ScyQqp+
6m/gB4Q7cD/ua+JRS3kfFR5GsmVTWAQ2ew4sWNHV4pq7a7WhkAb2ehjjJPMMLujTiOqoEfmdRRGi
dzH8brL1CxnIsttN1iOw7x21OiHYCPVbzp7iKhy+AkNOPENapGUlyoQ3y487VhhcH/YezZW+H/OG
2d7OxB0ioOWBkzqD2kR6MtJkYtJ+nwGdAuPdtsFlUUVDbKzL95Bzl2xf8dqsCxAMmgRaSgSsg0kB
ZxeZO4jGQqYrwL4LA27gNbM7REL7pJ31Y4Ud1du0HNVeQj2z8XMTvvc4TwGj23IgtOe41QgeZS+0
PCFJIAJsGKc6vRMyx+tQM41eiWnhKtyA1hErf8NoN2Ep9c+DO7IJgV8UvpgKzRk5Y+v39UN174yW
/zQGurqjQP4jJdCSfKpc3rhlZ278nncHUXz+K0HfsiHfNd7YHkfqaGqID7U1y2OOSZowxUwt0UDJ
M2SHMnsvWKO5z2h6lk3jkn1xMMbc3pt1gGIUrD0RnROcHZBh+a2NdU5ErJrVkZO9vqlFC5+1bNHy
xKjVfoWaSLm9B9T+Hv0pI6yX1hDsNNoW89Stk/8pjxMKkaDq2FONTsMJpqzpQjeowmqqbICrylgZ
T5gYeDw96kEqVcDtCUlwF31PBVDhRUeKBNOSeamb2ONU65auSwP9SEYjOzzdkWHUKd6Z9aBc0EI7
KzvkVQ1xAsfEpnB5CFQpNllwE7ZOrLhS/b6YEG3PjOVmTfGzYY/J6hK25Iusa7gw8viFvDNG0PvB
MCHnrj2VwEGZ8gbmtMbD6X2mntbf+CkqzSykYaraUFwT7YYvAvb8m7VgYvHsAoIRwwkfvWexfvY5
i9tYJcxWhCVazxOfHL3Pm/CHmBxDFszd3NW8E+W632xjmsNVT1sajiPlK0Uy0ldg/mrTDMx7fccr
RJAHm9TYKE5G4+69ZJ2ZF7JyuoizXXqDzib76UyeKc9uO/LGDeQx4R2kpW587DA6aiQGK3OFf9I5
0mY1/SMHNj3cAMgirncc+wO8xRE0j2UFnFUG0KvFIp6DQFCyc4EhRNR5uCV+jix5E8cWJ4kK083V
m2bvOaViTaIycO/W1bwPy9r3/9gyu2b1y0ssDdSlrkx66JUf7MhPtvZ8cvqc9qP+pFNvuaRQgT61
Y0InmjeE2ZnTDtSz0hpJ4/YqInno+Bj3veE1JO0sYR3sbFrHN1biGj9QWblveTguP0t2lb+aUku2
26rEduXNFpULaV5Q7jcHJLjqi8Pl9sBSY8JW0L6SrEmzuzu5OIyumY/kKcm97HPVDskTEZko/8eq
BKwiXfMwBy6ACLuNP6UGFMSmm/lJbm1mkp1yHSb3C7HppOmaiRKRPxDrs+nDyfv6Xlb4vw7PX3R4
qI2vVcF/Fof/DdJ/fq3lq/y9u/P33/L37k7o/I22ju9TYXJp2VirGf0f3Z21ZQprEw8laQ9rI+df
LR6qX7/3QSlPBeaqjhUYEv+blo5w/lhng7pFc8hEFSqwhgYWvtI/lgO7eAjAemjvXCExx7mBqARl
iVCzIqlSGmzMmP7hCyqi1G2SZZp6FqQvuabRh7Thkbg8lU1nGtVJSs/u9Q7ibO/EN0E8ohwc7ZXJ
7Xfl0l6LFE2tv2cbUDnqOpggUTU6DB/yhiPhZCV7gKuVd5mcTv4oEvUwOJkfR4KINMLiPJ+5IUQm
KrtkVQbMT0awLIJwLxQp66xem93GCq18OViCHe6lJmXajXKOKgbrGaDKm7JDrXuf0/Z86rs4/CrL
xYYmIzvqWH2PlPsMaySNd5Ravhi25zR8xOwtOx2W1trd8EkNtEkcBJ6aBXec12Aj+b7aGmGjvmWk
P90vLuWxZsQ5mfVpP2yQSGlIJXZqoJVrIPgWS4WAg+TPb57EPGlJ0no2hD2FPwA6/yj1fA14Y7PN
VFTzkb/Et9Po2Xf0j80bmtliN+Q2dQyb9KPNZKMSJ+WARERzns3toNCebFBchJgwRwpvpRPTklaC
NDJ6EtU9Ozb5AmQjPlr9rA7L4s8PobTmk8EOvWcrbmmDmRWzIaek7I3x4D7gr5/sHaRJ4y6t6uCg
XY9zZaPFRVGXeU4XP4NvNgJeQuMaTTqB7+QEA1HF7mR9NppSOqD1CH5EejNuieNtogqGwpGWAdme
gztP22x0qAZaNbLedCJU3Yj13lbw2+Gr6Saa6ZR/M8iwBuRVGocu6xYkS9byw6wsHzecaJ8WInuu
RDs3l8agkX5w6G/f6XHxJiH2enKwjhQgaT7+PhSWM6W3hmu1QMizj05/9/e+P+J9VZ+qWKqy2fof
0gCrNx4DQwRI+EnPlbB4iBIS5o//m1H/f0zxLuDT/zShRq9l9ot0xuz190n143f9s2Pu/I1COU0C
0BvuGsPwrzmVjjlAGXzpzgcjhMn7H21zZltBgS+gf4RbnaiIf82x1t/wyZMcAQk2sP0AQ/Z/4Yr/
U8uMtD/kLJYA+upDPKEIvzYefmsbDZQ6W4rE+lqzc9xNigAw5oTcJwndVxNNO3c+5YBDip1pFsPX
oXGmT4UjNUyusO4+/3b3/pdepfhji/T9agDDWbxktFaY8bkjv1+NU89tEeJZuVrrMQvSLLvY0W/I
MQXa1ICMVs741Z9aTiF9Fazn8rzncBEv0ncIDfPrtxB0+x0/IyXPD/fRp8U1AnGYPTf+CbFC6L/o
WL231f7V1P24YhrxaIWA9JqB9aclilUghf8yD1dbu0my9fRSfoKfEdh71HMN0rqZqjZ0UmwWi++R
CDcXpn2oqMIJknApDqeYqzhpGNSQ5ZA1hEBWaxnA790i2SVNnt6D2j5VMqRDsQoSXmTanYtSgZzM
WJlumcyn6i96tv/+GFDsmNS64cUIJB1/asugvkkoaJTyWg+c85sEyccGPBlDo61p3UJUDJ/aWJRf
/vPj/2OTCwEzhBoR+DayX7pClr1e1m9jkYzfxGGSq6/v/QJRpCOFsj7KiDt8+c+f9Me+08cnhfRz
6Eih5oJI8cdPagG/LR2R4tegNSmHq4YiIJuN2QKfmu7MDrd6ZJtz0ES57arqrwbNOih+HzR8S5yT
9Ghth0ICppc/fjwxRBk9BILq/a5wX4nScF8LNG3lASOY3JF72IDY5NEfVNnBD+2Kxv85UGc8KjI1
LpqtjBnZKifUPPfJPrZ7Do/bFB7Cz9aY2q3JgupHLh5GwiRsbxn/QgQi/v1B0c5n2rBRaEP8cJjT
fn9Qpje6tevGxq0Y4+o161cspTCKoXbYg8x1cgLkUHxPgrC96KVLYeI7RARbYvJ/AbRZWDdTeLxO
k08/s96GpOy2qf8X3GoHxPaf7rLt4NIiaQetDmgtny3r71fpcWw0+3Swb3OnWw+SW9z3ywHSjh3u
h2kkBkJ35gOUU3fckLIMNFrUB2n17aF0Wisqyq56bEu30jCJVfJZ5RX0BgirFES69hNnnwANdB2j
cM/ZFRESC2ozzmV9Va0hyY8kajBJRIgJc4kpDgFSrW7oGpSPJE/cJ3Nta+RuPnbxuHsecC/bW2/C
gyOy2WJucMZl2ZgqyC9l6gZfQS85p5RN92VJ9BRCdUxhEjPosiNsU/wSCt7wVigMWkuuf7SyG55G
08Ceoda2aMxG8ujElvXcpUIVB5Trgq5HWsTf2YL3qyShM76NdJ+2bStJRiQd4Ci6sHzL6Njx3ttV
8ZTBafI3E5F5J5DHYzRzHw50dsO7DqTSjtpWtxdCiwlHuC+SaFJJ0IEcZdtaSZszZRveUaxOTLow
zXDDUmOpqIZQsAkGv/yiKzOFFRS2Ty5BvIcxzA1rL71qeQ28pt9Jk/L8foL9CDlIm68kiqtfkgYl
XhtroBNbJ9aU7PWQN7wcSu1mLNPBvgeLBt7Rrm5qfindUqdvuNHV5NPqzXPqdbHiDE1/ZNlQhIwj
ezDq6tB7xS5xxtl8WLui20z2eG1yRtKAAUeF8qBtX1+8DwTRqN6BRITQr3ii9ANWJBVAPDJTw56p
vPmBC/qdbDR+gI6GYqgKIJzsGA9TOA7xseoz6gK5VTZP5qqYzqmbjJR3QlypOH1CcmMhSCHtiPFJ
4OQtVLfzCgjJEXhQEd+ltBdALhWzr9LtrMtwuHgfYCb1gWkaWQv33ju9CWzXinJCXQnXSdiFrPb1
O++JrMEV/kSvwIuMGA0cMYixWTtRA98BBnY4qngPuZUSr4zZFezdeq1yBYvLjFlbtChoGq91dNiX
lOklbIhq1yRZ8MuADpWZW7OxhkPmBMCnXSNO4lNtA9l186jWEpc1hiFmt3TXJqlf7WI5ofKi01hn
+7n0qvnGlLiXMYoBHox87c7loQfPZ0Q8Vnb0bbWILSnY1EH50zTuSIU35IbEnPpzXlVhdbT7cCh3
RTp4j8taNN/na0HunKoUD8gGcVY6HOJ+ausnFmP7RKCjVezHlivYNUOJYygQeoEykRMBdVsFM0Pb
4FXpt7EQ46lHMllukxjg6NavaS9uMp/EoU295DbFlwIw2zbgAqqtjU+5Owozc24wXxUYzooCFkPW
ZPF2IaiGMFDVt+F9HqvciewMbxEG4xxNMHEuzl60MVAEPw39difmdGmOaSZovxc06VfeGCnZIoSG
zvBJ7A5wSAahYNCZ8Q0+SwMWI+M9sjBG19mCb35yDPsZZ5g1Xr0WbP22Js7zFkUuS1Ii/WLlaNAR
tPdxloqaRgeM9hOdZng/UrlLdhZDMjw7ueW+ujpe6+1irSGPtV7bzIRWcfGjWFtxdlfIiBbILhNZ
97VUqwALx+P0JF1PfW/B+BMIr2gIBIVLmQ63OT/HLRtqh1ilUKHoFioAFTjx/FHIU5BJg2hAgKF3
k1Xl2U2vLVpDtY8j6S4zKH5y+F4HZ56v/f1SprCWZ4cqu9lRRd6kqubCGlhv4swKRp09oCm1q5gl
+y2SU90cB0kT/j7vx6J4tII6RLfn5FA7UHKsm8+1OeMWqNvASFR8dNPg79toi5y6g1n465dfLx2H
6Hpda0nccWu+xdi53Cp87mvBtph4ddoyKbKHGrMNBeWRXUHC/8ecag2U1DvhzES82m1KZT1VvR5v
KyOlkJ+ZYwd4aQVo7eapo7LMv1P+5BsxgZANv+6TgQ69xJYdnoIpy0gdJEWbcbE24lS91q/JLZgf
7UFTJk3Y5ubnpq2L/AloijrI2hTX98awY1oQxVMcqNapCXCfnuOUAFsAK34H7NSf7QMueFVEpt/N
P4oSOq8eJWnWnTlPBfll1WpRjkmcnxcU6zuZdbQHOQdQ9s2sOZX71qvCzzhYqn2l4NZhlmaam3uV
PmbUYM9hRcLM1rV6K2HaQ58MR8cKXyiRT8kOoDavyWLEdnh0MF91P6lMruhWwZDaqXXG3uUuufKc
u5dpxyKjujOxL8Ab4hBwByutjaPH77v8G3XJ8NmY2aYTpDP04o0EMPK+KhiO0zFTFj9KA4xGY6cS
Lzm2PBb08OTU7peGWJxbPftkqE+y28CiuXEq/Ho3i/J4OIUp5HJoaYw3t6AenIsxmA7mpa6upnMy
qzbFASqr9JmdiHwzaZviV/EzucbMSEU6tpoCghDiuXsqk05kX0RD3gONQ3Zg86d2sOkGo5igVZz6
xAOfjLhV31H+GxMEFukVpCSY4kFLI14O/djJDErsyCCFAZ3b97pAN3KtvLak59Ailrx1ROroaGZ3
I3eIO3hqKqjx8faLT6EnAA2xE9oGTzOVVtBTcME8QK9aJz6Ak9mUEXxmr/tMzx0DWtoz1ljp0A+V
SSXv67CGOzRabZjvA0RXaqPHr7RrVSA2RTH5n5D80jFSbjI4t5gFgukRKgMdqzlhRO/azOZpcnBA
DJDZA1oDv29T+97SZukdY92EfC+tjeS26A06IJVcOQbsxsbhtixjrh88ULKXaVCkW6VN8zjTNERG
43k+5ao49T+M+v9Xm/6r2rTjryCF/3dt+vj2mv7BsSM+fsc/yyhitezwP8HJ1Fsry/8sTQv/b3RC
BdVpPABrQuw/iiir9wDcH3MSmVLUb/9VRHEEhh1KH9SpqdZwcP+v0IIUX/501Fh/AnUcj3M9KvWP
jMXfTq6FiDu8XrF3dcmMOcKk0N2ZhHpQIlQfZtenV21VhV2fNNyN8gl/sBt+xxbxM20W98nxC9uN
RGM/c1rUnws0pWcUxVRneaNYCtrag0wULjJstsRkzMOjUVrMjWmiVPcJyjL5GOw2Srs6FyHWnonY
qvzqk9fQ4aIrg31G7Pyximc78rFkRhVpM9u6Kh324RDa2TpY1o7+0EPRMtWtduX4Utpte5Ejm7XZ
m7qTFfbqjXX/m1MNwZtDBjyLd+MfzBarc18VZuS4lXfEo/lKv3LFlwfpjNwG9Od5mcETmm3j7HlQ
xrXOKaJufeKoU1oJfRz1IQQ8QurpzlXT3pUleG4rU/mdkabWZwooF2e0263IsMfKLDUfyRNsHoex
q7fE43wuQTR90q6mqgoegfUnxAQfeLtpzeGwp+rByY3uhixq69pXVX8cCTKPzBzTUzWRdQkQILsN
jfIVWywHwZZUNLf1inNHjPShbIzpuyz8+DjHrr0valGypmT9bskD8RNjC+ebQPbNTWhlP8Er9OCD
Mv3FpSBb0+ymE9mxw466qgy+WdZY7Fw/X/Pcm89VVn3uDD4acRnnvFRNX4lGIDzNhsiDZpLze+tX
bEkB4a0W+MkVGzsLqyd/0Q4yXzNtj+uI/NRN0tsHgp0ZWI8SYq41dgg0fH/g6ifyAwFP2gdzsr0Z
mYmGsesRp/HoFKK4J5lxuYsVIIZ0cbpLalvsljNTu3yKjaCDo//BycselaBhZ08KdN7Frdr5ks6e
fbs2NMBsxeqeg1+/r6XUP4bAKUGfmPYQjYXR/gqlzEE3KaIGKz9XF3BfeIjdWl6GOFiajfZU8gZX
B5UIp7ObVNCuJ2a49elKhmnDqdo32Tlh0vb6EOtpD0gLNIg3wQAM5Phi65nuT2fP1h5LazeTWehn
WytJJ0haOPcLowKYReZIeJ4qglE2QwtdIiIDrt+HikWj46J8FJ4nuczyU9JTT6HBYaW/mnEBjRSQ
ZutnhXfpXePNW+BeQcLKOdLjFt4gGKI6o4EpRDYbgL2fm+FnYJjFZur9cxvX2T0HtnRfJq75ffJE
ubcy4f2AK7ScFl2RFuBNqXdQPSLTXgzqCxUb+94oYh91chDvR0qeSVQXaj4DKHOGKAji5oS2SLVb
NlHpbh6t5d532T0sHZt9z9MkqWrbOqLe7R9hb7kH5H3ji5u6zUOW1elM9EVByylMID619rxxIdID
tgj5ShRpkHVYlJnogigiIPtp3kHozymZxPMuI1bq06Q7TRG2E/uUJuI2DQGh94MT36ZB3d97MM3I
BumfM3bDjwQ43vS1vdyp0YRxoP2TO/Jab/LSItIlrtRNgEkZBahl7IQSUm84jc5PpBa1t5WcrGfL
Yh+WmaLbGl5BHVj1KL7mLI2PtRn6TzrvrChsZGTr1rytfGNn1o16SJyuv8x5m0dMnigQRx5345Ip
Rb2NZpHZhdvEViZwLfFGucS7tk5XH6lNWcdKjt4mExI1dt3ijeYhHyANolHO2mfDb2cO4pY9PC1h
Ov+szBZ1suHPZD9WgMrmbt1NiHTiAGqlkcjc4uBDkd5mMRO5aS3DOUtp5yMedPaQNJPICybv1tTk
qDTIGY9hgtk8xtb51W7M9IYDZhlB5Qp3vTPMKG04IX1lEcRNHobGT7FmjAJbRdHrOeOvPDYajhVZ
80jqjYjIq6Kn15mvyVIlO+ifsPTYlh6CCQdU1AJ8+wo6c7j0VfkomwaiY0hUrN337dlCgUSf3m32
CkjMvSmy8E6SLtZthhEknJN4/aFyGsp5NkgcimDTdvRT5ycFrWmHD+0HDcQpKpgzUUIUih6m5xqX
1HA6+FGu+tzqMIsc0S6PHv6N7WA33tcxSHk3bK/dLm4ATiMr9G2djgYTVqI2MPicb0U51Wylu+wq
4ro+LGYjXlVFThAIxE/xyJRuqdm6cSevhRKH5p8MKKG3rbkER0jbj4spjuweiOrpaTdjbwEuuwF6
Gm79bMJVUSSfDe1WUT5WcjN7dXqfww6vN0aXqBczgVAS4oI/JYjnAmbQmKgUzOYRcp+LpFrzuCzj
/ZhkZA2XZnke1zg2l7H3nGPmP8UEwfFKoHGiFXzxQPYfSdl9LOaQoab6Bi6FHSeRUycBKHBvhDFA
lULaIxETQXzJi7Y4NFgajrGZk+66mNlWtaSe80KBP6tQySUDgUqAELqdDuLqkrg907eK1SuojPYA
lM07L5P0fwi/LL8TQmZcXdk/SBCaT0uA03d25LWAu3hRCmVqD7j4EIz+uOtcf/rEYWQ8uV71mqOv
Paa5n+y7ImsOEzlDN+NSEi/HFlueMgtspJMlziNF/OZ+ITZwG7ByTRTOHkRC1pmhakX0pT2lG1vE
02cByu2mXCaXAOKMBKfM3dN8wlFo0cTxnBdtkGhmBhVJFrVNIkwylc+AHNvDOASknwQDXE7ZouHq
4p8BcV+Rl6TpIZBhSyqcLGkGl6t2xlFn8uWSL1MIGM+XUwOipezgxLnLL7Jpnuke11Rgcv+piLmE
QRRDxPXNGy+3bydm1R2BZ99iCSejapz0DpbhhQhyKCyevsAodT6VXVGfutx2do7RTweaMiGclyL+
1o+zPlD97r9poyauLxzDXTNZ09FXJGiXnvymBPMK8at4GtR6cEre1ZOvkMRmyEEgxgjeW06oCzZ+
kZSQNc80xBwaMrA3r+TlJlEamE0Es7L8lBte/cSmqjjXXcBS74rY38AjCfI7QsrFgRzF9krG7L7y
7PYQaLO/VbZTb2vtGoc0dyoihazk4q9CyN7Kx5skzlc+hMq9+85t9TF1SrrWwcgRKc9hhzjqG03u
PGroV7UHyjnLXQvbkGwW0J/N0td7N1D6dQziAGtlRyJeXEAqAfSbdDWxhZ1DpM+if9RF2n7zQH+Y
bHNfqySEpGclv6qx6vZ5BbopmpEOUX43MQHkhXEDooKqGf2TiiAxp6hvW20VEXozDxFr1ZH77CRv
8dBbW6deFEuah+QBVC7SuSK/Y98bDVDz9srygPbELSuoijnqMw9ELMIt3ZTABLxjmL9w67v4MUpU
wYNqtnjaE2KTqh5U4EhVuiweyAIr7I00Z30moM+MutrKjyaP+lsD5OUGVla88+uRUk0yy+LUy1GS
IWTIbQfSkcg1P/a/4O3pcfqPvrvJFvPBB7eD3GBO8qtQg/ihW7+8W7RmQpjAidpxYe3jegHk8xTo
eMzjbTwFafMjG9HfOpvqw1mi0wKbCWFXeE4GHYTNs5on7hptR72aU8J3n0re4+IAKV2uFhbE79RX
QqIQiITA52IMq+VlWt0v9AHwwYRcIXsEl/AeXDI0CmM43VMLkysmaE2snhrAXNlppEpx27X86kaC
GrR58yDb9nv25sZtgUycJOvZOmS+S6BD0ur6rY+JpmpWQw9dyYU3GNXR1R+95yWl89j1rvfmlGTe
UGda2nPshmrnLmH/SECUTfB61Z8MWLcPJpQilIfNjLwtVeONU8KLZTYAIULO27Zx2MJYSpKTlGSE
y/els/Ohdp7NWjqnfvXAZS6VNJLdiZsiTs4miIrPM4u2+aRR0nyWonA1kVRt5W+kMOjPgV+MTO7c
o7IhHmXlMH9VbnyXkE+KT6UM9ZNWYbKd8oSINczS5i2Zohb4bim3vY2McyPdwBs3cdIGdwGrcL5h
pzUecynYI8sWxoKu8vw5CUpa8Cuopg/ldJ3rJXmq3EXug/Vmx6BODkZIaP3GheB5NeJJ9YTL62nn
jS2ljVx2T3Fc4V3IGn7puITusZB9/TgkYY8CVnQvKIPEF9GCB6yb5CWufPPiWK2iVVSbxo29ylI2
dWjCLZrMM2Ke9mmigb0y1trav4US4TzUaffqLxg/NiQqAiH6H/bOY0tuY9u2v3I/4EIDCPhuelOO
5Wg6GEWVCA8EEPBf/2YkpSOyjkRevbYaokSRWZkJE9ix91pzGYnJgGA0eeynS+wQR1dE3m1ezMX7
zJTZE5ayaB+IkIHR3Ftiz1aoe8rbfnwdDCDfEoDPWRE7ueETVbuszbgJJ3Bkq9ZDorNi60Gtg/JG
bKLEHT8vVH1U/AbSrraetLFG93aqsEjv25jEcrNZWtx1iOu3CuXMFhZ8eBwxVh2TZcmu3GRIjyWe
xZvCZefgk1iy8UzjcxHUy1MSOxFhq5bHl7NnFg3Tzef3YIVoKlnDaK6XzF+IPq+XTUGEz74TQ3HP
nA8y2sJ11aJyX1nwjE+RQDMqqXzXaUoKV0W++jpjW0a0SaULWcttr2Db4qyqTFevYPE2hBHNNE+l
WQlAqhuD8pZwP2UjWPfYjDUWTwGMMrSy1n3iKdTDtESWV2OuzPHOCo3s4OEz5AcOxvy+A8M2PS6j
AfURLggb3u6uNzGlwCnrIXWSSIdcbjxzSNqAfNpLgIj9NU3kf4EzqQTx93TDKHIfGX6DC6CcfjKi
fwsFNUlOMIlbAsFCc8Vy36IGZDONuAmt8QY4kYuOjWh6SyCMQKJtMAaL4k+itLU94GTn7o7YlJ2b
WNvAj64hv25V3RHAZuzDJdvk8Hi+6U39hVDl7QD88tngOCBZ1PPltwKJ0hqaysSBciNle+NLasXo
AOPvn78JUkut9IGf4b89AG7WTWx6h/EmFSbdWbbAhAZWfv1VjfBvS/InLUn2E/q8/X1L8qZuu+R/
Ni953b18q+/6/YW/dyZD7xfXc/FnI5RxybD7TjRLBhR9R5QmxIbxL+9Nb9IDSEkPkgtdc4Z+F9HC
RQltOiQ+Lwt0IMo/Eng5vhZj/Ck2gQiAlgdSCHYRSyNg3nII0CJJhWBfXC0IfONln5KS0EUb2N4r
gJHXRueE2N1IKFoNAUHPq8Cxl4+GKNhG0q44KNRWV6QW9ejyjRLfbVNTQCzqmtX4kLR2fwpYmDYO
WPNz3VfGQ0Ns97quYuPcpXTx2Yp6D0Mgpyfw/F21Qi1h7C3ZQHNXVPqeAi/Mz7N2AjIB+Z5DZO+z
JozWfG545258QIt77dk83pHr41xqonfj0txOChEkxxEQv7QODbuAFXq6fO0X3slyqId6uPNJ3Lz2
LqLhPpPUgEMLqBwr/DWRxAyEyNaeBhN/iYdXslDGlngFazeby7KHPMTYNhZ7sp6q9wDIMmIpcujb
VAsEEt+2+exsjTgnfVl0NoEnJf5BFy+PXXq8f2npWo/itquC8DCrPr33UZ/iEoaHLUH1EhtC1T9K
ORziLrtt55CyUeXLtmxSa9XT6Qa2Ku1tYrr2Jk5pEI1lT+sFzeqJ5uB1YoURg/vyno3DuO0ifx+W
/UE6I1BCxmCrOQRQ6eBV24jI3BtpZq3dZH52O5D7Q6e/BNGRm45986aYe2ZpruFti6D/jNBsY1Nn
niSMyLNs03ltCyabi78z0kLu3IW2K1xXRsiu768a1zuEUYi1vTbXQS6YeC+R8Tzbab2yzd5lHWa/
bPfTtOM5HpL3inZYUH08+plcjgp0K61gEolBoLjknRvzRk2mw/OaSFg3iPdTTznbIHjehlb2SU7S
OWNZOs5VhKLGtakiVTuu7CLeJzZeiLAhRqAojG2eNY8Uns/BtFxlAoVHTF28M6rU3Frmkux9Wb4s
bvYJ6rSzz+D0r8dsJB0E0cmpEeFvyHSJ2hhCd6O9ggXdKW/kkgja+F1YZ/UOK8a8FninCfjt1kNg
MQlUhQmr3z02IrM+zc5irfOWKAQj/7zMDvPCJJDbDCfSQYsm1stSBSsa+eE6xWSxYWfmHGjDsoNm
oLw2C/5fbrUfDNWVm9yfoo1XKRC19dzsrYAzWNuhs/NI/tpFdvbUCi++rsyk3NnB55j+/IkBXEMT
2TMeC8cq1bonz37jF2l6XzL8X1fKM1dgT+a9TMP20ayoUiw/zO8XP3A2Si3XqmuLXZDl45YeGHPN
vC+ZvJr+FvV6DJHWMO9Sr0VxvOTlFkd9sgZ+LTYorqi//Mw7WoLufhoHJCKIGKLtIM7KMPuNgZLw
iQQCjiLz/Y1wMlIL4nDcILVrVqZLc0m5mfk0Rw5wdQOpfjkAv+wS6a9xseA3W/LqITfsmezX3jxZ
nRq1sodO/hrsb7L1ZEDoS1ei8S9QrtrsunZ81P7KhxTOXzSuqjolDzv3bgwn/5wOCGqyis7T0DCq
6YPB2PhEXFzLRblYnIpsldrmlylKgs0EBv8khwXZgtc9mIRfkivsnQK05iunde+9CMPMaNI9T0Lq
+mUsPHJP6ACKJvy1R/yVohaIrP6OMCGK0SxFnJoav5XOMu/Ayp/bzr9KR/4+epT96GELrpyq2sHK
hERM44aZKvMAbMvkzTjpS1PTIIuD5UHVuNSwMrKNY360GoO+W1tmMGOuZdPTEty8povVXuNpoGMk
XkLIynBsM5uYb+U+RCKJafuG2x6th8mttgdP+9uAxGrlLwjY3TZjiFBY1omNfL6jhztsiQSmVdbl
BNSFZXBIbPMWuOYnz1NXWexkR+VOz8GoEFelXrcuZts79pBvH8NweF+Q8IfSzP/NS0awkFHarce4
eBRWf/adrr2RgQAoRWXvQga51h0msnvviiRiq2FT4sLN/9K2vbmBQhnBz+/rveP08KHdGWL32BVX
M+kjNF4we7o23boiq1bKTj6FcxA+zg6Z6uydz4tHEwaYd7PDaTJspoB3rJblERVUeqdo+2cWD6GJ
gRVhECH3sxUXu7Z33ZVJ50zmkKLAAKTnuVHHuG0Y1A+2saIZJzBW83ghVNH7WOTThzHq+4M/+691
Tw2bxAV9O9GNe0ZWxg7mr7v2ofHcdsVwZ8aU+Q30GT74eC2Z5K87V5AdG93XQHrIY0x3U0MjnQWN
XmlivO9DNoyNMb3aqSRtvuj7YzAsWMVTJlUzcrED6296SsiI38e04BjggyftW4aKAZbqPXRydxf7
o70ThcT3Dw9qH/vZ+3FI3eNiBMDN1Fnl2DCkEX+xDemfsDJGO8Mng8ORnrVza3xrllOaJwS1BAU4
PMkXVtVdi5h1MwbzYlefaXZV3ZOTdpHKuWYNRhaHaQSeINdT1wT1+NyR1eVzKzaeypAfcPWVwW3k
tuEotTYr1zdZnUEitw+NqNMBE5n0RPRk94hYsFHMMz7+eOsqvN9ZTpARO1fd5Y3ce+KUfK/9CAGn
WiqEWjRDw3VGRhUNiiorUsz3K3RcS9v+O/H/7f/incAK6f3QPHHz2+cWCMj3pfXXF/1RWru/ME7H
bKaDcSlO9c/7jx+N0pqpO340iJy2/83U32bqj+4XR4OPspuy/M/K2vwnVgkRaM7cn5U0Ay1cHFDo
2PybtodD7o0svrB7AzNPMlzZ5RJi01nyVgguO5t0vbm6QqTjzBID8RAlZKobAZDONB8f3aD1jmrp
ooeiDKKFlcwW162VebeiVd7VlLG/hDcCTgZJazKsBHPFHTTq/oOjyvKmZeqRbQYR9ruwC9IbCBy2
7q/GCJF5Dm2llai1C6DhpiNnhPQ7wFnmEJR3eW5Wd9049vehdt+u4Czlz5irxhM96qBH8uVVHxDB
AVAxE93GCurwvkiC8p6a9plamvoMueMe2X5854Fn1yzr9p4g8WhH0rt3i6UfS91odyeEAwuTDBsP
NgoGKhiCkiBx0Vrv02x68f2yOWAwjeKVs0ATaxqp7thZJ++ZsvfzGq273NjxICA7+daD7zbJvTt5
GeM6h+hYg+Lkqo1HcRU06on5e4doFfVEu3IGW6xNWy6PVdfTg7Omz/lE2ODKHnJ1QPKUXrGpYCmo
pKs+pXSCWVo5h09FnpU3wTgkO6ioy6ktyVZcJbMdb4oh8CkGaOowKzXSOxGq7GAU8e2YZxkj3ok8
igS9qqIvcDDHeryakqq/gjOe3iRW6WGmK8f5Ye6afpdPYb7uvFzQ1JvUYcbVcu035njlICY7YKC0
XzLHrk8ZGr0HQETFtC4JjN9WQnaksiaC2RXz6uvFasxdY/kGsq+ieodgzH6AENR9xEVRfIH4Yj4K
uCGIXqfqlse5cWOTQMXUufvAsZLzupmq8K5RQfnBbtNhZ8G02lSdMLdjlS97kPfG1qDh89qMSt1a
HeONDJ38OiSUoFllXDjABIww/FUHNbTrprVgxaJvrwhgL5J86zAve0d1auYrD+Uoz5wS0aNZD6AN
oQoGgFwYeQTnSrOyHduVN05Lu6+vzHJtiKVfJypGwWgZISJODH9XcnGcQ0E39GCCk/gtq+LszpQk
nqV5vNzmbiZRSmNA+DUAsVLSN1VWuGpGAiiZEbr9uUo9n/ZAkpzSHCY8Asdsg4ve/ZBapfm+nTKk
22FubhNH9deYmunnYoMa3kFNXz42hRTobws5MTVK40cQVu5t0DirNpDxfhj86i41VXePoF9sc7Tq
M91QamCuycqnYGl6EO0dkcjIr/18pcYKvh5IkOgIdwR/Y2i1R8oUIocCNJ1EkTJUR5XRRuUzy4i8
m6uCUIS4MbdDX7pbrEHmtY/udtSJE5KZRxps22RubqFNxbdt4oiN14CAKtIihBhltIT7olzTGpx+
fvC83I7XsmJPtGRWggMhKk/9MlSw7g1/jNYDOYXDjtBB8zaLbMtaG0QLlzcGQvtn30KegsG8jkjU
aBqSLFEjLpulrF8L0G7BqvfK6dpGCThzatyUkCRyh5/jQSlgAhZggXVhxNMGdAWq/CUDH8UAoCHY
V7K7fycK03rfqqjq10wHW9kwECNbbLqmkxEQ9kssEbtesUOQDdqYzKjZ4/E+mUhKH8gAFbP3FPs4
0e87G9PYgQBm7naGOOwjAT8EWcn43RlEPj602RQHvxJ4EiXVOvELc3SfyiEbG38bSNcgLLHvu+x1
9qW08j2mu7blwUXv6N8220/abFicBI/gv2+zPXUvybfttd9f8Ifw7wLkNiEWmZ7lCqiLf9YAOmKd
9lnoWjRIaZKiyvtD+qf9k5Y2k1EY/N5Xs30tBzRtHuE+TWWwvf+kGrigCb8vBkJbWybxI2jhoUaS
f+sugiWXJgS1ztdhtRhLzoRDztDmvTF8LkvHPvIcQtcN3EaelUssjTXPwIJSnn4XvkWrsR1C1iDQ
ekbCJWKF+2Se3Tu6Wcq0V0AaUujdK6QqOjujLD3oHffITSZCw4m3Y019SqKJCQw8DR7uHsNjFmVm
K8atjk8oT3WbtSpcC7w2wRdb+nPaH0aPu2s4xn5vpdEx8icjO1FENcODHDjID0ZVMwKQWJidbUxK
+XLmWDr2bQAiaG3ytiSSSJMxNmFBzSpm09oxfsOI1MP+vsEhkuwbHPk28a1e9FiVInkkpMs+8KXq
TbH0xucRGtZjADamYf6RZO+m2r3poGodYZHEu6SO+hcwsihpFGs2a0oLY85klxoSxVuw/Z8WX1T4
MtiasMIt+UjIzQi9qjkzyNHB5+zjp5skzok/Z68+QqbIjRhDPhGCJKWbcZ7Fu8iRrvD3Ip0SOEFf
09UtM44slpwyH8DV3nuFmbYMlVVdcRZKV4hyOP67Ivyfdga2p23If78ifG28r1/aukir7/cHX1/6
+9rgu784LtAHTJxwjwRd+P+sDYHzi411lRxyRjSAWm3667+vDTYNe8gsTGIDCm1e9ucGwbZ/4a8C
Q8MI4ZqYm/6RLNg334yJHHyHwma7APEZZqv91oHo51NTAiHPSE3R0C0rJN9ps6gYRbsYWoqdbiAS
GjqVn6BWFzMYnUqQoEECnkK2JkYP34uNVDDf1i5DOOrQ2mKmKwdoMYhGgfaVKfRrNiUOaZ4AtmoX
rl/nMEdFqpbhsJGAbb4ikJmmaYichuewfSGpmCSwjxDe5EdEUrgFhoyR9mqsCDWyuP9fLn4bPFMG
+rkq9jw69yKQewH5HNlDbuiX2NoUllMg3ommC597ygdUC1ITFTsFpijWPKDL2tZmJF1pEBiwJjn5
7W0sqrw+1QiVgpMX+rAfA40T0wG5K0sDBK0qxuQlHfplczHhZMEHjaZMhg6jVBqK7cG0YKvhoHdf
fA1iqmujPyAtsp+WMZjuKhtam7JNKHheCaIvFuBRidAGGJl5GjPIvIEGFqBLpfbsX9QreUMcgQvO
PUWF+NGOGhMjD/Zaos8mWD8XpOkc87pVH/MBmCzwaUcNsjTtWLMYNcq1t0nkphCepvvWyXlPQhhI
UM5MvntYuLgjehqE4MTS8lwlfnJjE+p6FQwRjU3Uw9dZlA5Huw7zY5X6vMYncChdeZMGMpXkwXnA
bAX/5+sJBaaDYQFhQfgsen2GhxmLNqdUqQ9QE1FPjxe6+ZQLfE4mepX0nVEKvkINC5Rg9CHh10AV
eKTcoue4jJmOWk+IdWJCMTu0inzDj9M9Hkd3YHqBP/196ymHsUe5GDXqoOVLwrgFqcOAf4rG231H
43Q3E+zlQH8D+7cIlb0jgzZ0CF8DWiWtEhakwwU4JaO+aksu9HwCcLhDGcFPWpiQx/R82IHxSbiI
LvA8/CH83u8GrgbRkuXMmLrDYhay+z0y+wLtWPh+x6MlVlx8DLHQbuI/pYQdSR7FyIwPyOykdZOM
DTehH06cYCYU9KyCEKgfyF84X6cq00ynPGSsDV7E5XoDARJe1TL0nINPlXw0oKcgvST5dtp9tc+U
mqJng8qCGDmWXDE0eUGOT/iDtlQInLtBXydzCLa/16cosDuYU25PHpql+GGdhjISnAc/V4Pm5gGg
pUQo+RE5SPR8uYQvdrY5h9is1Vw3Fwxn5MHsHm2NFx1FPN9NMbdCuYianEC2sTvhOXjaLqzHDpgc
gooi4ILpNRW8qDx9BVwYqpqi5aVsWzFnA4HHTGofLya9C1sM8ZfudeqIAWes4TgC4TRWUmVotLOG
aUbRasHnBWm4iAA2GVqMYXWhN/q4HI+p0sQ+vffmfjBNLjBDg38BSHF8ohZE6iBAmjF8YwWBQ2Qf
L2gxYgvDq6XRwWDdBRpcS0jlqwLPMzoHX+H1yZoBq5HRqpn1NF7CjVlI/+C5rbljiBJeuc1kbGzE
mii26pzvi1cpHneLgrC1RcLOHSZa8sVWuKhA3okar9msJnkdZxRm6Yx4wJ65l/NQx0JVOfYqMtT4
OY6HBBOTUrDJulo8mpr9jZQCg8VcOtO95EJPVyLJm485EcuHEC0YkIFEPPo217wHwyEimDtrad5j
VnFIb2OJtBe+8JTnGLKQPHCiiJKyHiNmkvIU1z7UBxvnRgIGJkv3F5Z379AYXQ8jBLhCwyAVMsx2
i3qRayoCYQ7X1yOSaN0qSJ/miBAGebOmkfbakOXOukRqS+CAbNi5XizVoVDUMX1jiLVgVXpwzNI6
tB7L0uLzZKXEnjkwROFOtIp6PjlZy49nFqZe4xwtapq4XN0hb8HYDm9e6lrZ2ZEQGHtLN6cu1zwo
El5k0im316LR138PcuDmwrV1qeD5nqZe9obRarp3A1LSaQdHjPWt1Xx7nHr6egxnzJ+ygW6KL4YT
+XVJQzYFME762lzqRkGLkCpQyKXp6o8t/TLDunM87i4Sj8OM0pXDiwhrd7njyiFwnseqm1CWNm6b
7C4ra10nFkJ9uNzPVmpX1fMYx3P+3qXjla5BGfFB0f/Q20hgw4WaqIvPpnxnJb0gGq96rZIpPLZS
6odBQ8oQpmoNgbvAdcdFg1rZTnMHB3UgiUtMkspKbvFDzgeWH5uARytG8UrxXWNrBK27hOeyUh2M
cT+asOKpNCzeLRmdEpPcVqCtnRE/XzDCZO6VnCJc9lAse/BzNfdku0lYYmo8xoJOlt203muNPxQi
Z3vC449efzUj26QOsdtHgKHHOtQPIuVVxSPNIHnmGRPc0e0wI+7dwd61jc0IHbbyDdK5+qz6Avc/
kW9Pqd+4gFSr6FPTYYYS8LsV7PM1Yy48ohn3wKovrdIYD103H1XSSyB6ISbBO/gGNTm23fuKRhpM
gmZneH54Jx3UxKV/H4GyMd/PXsFIAv1ASXeFjU7JqgqLQWM3SI01e4EAXJYYTMVSrX1sw8DKGydb
k8dXHiyrQZ7G+CFALJprd4/AVoJfd2f2BBy4GerJNS0S6JCiksm8mz22IIeQy7Jdx6qnaSSwYJ87
21lug6nzTyRq8phLJ5qdE3QyYhetJ8ca6mvD9KrbdMmDky8irl6LeEkvCeptTHYsuzbEq8xi/f7c
Iki49pnboyc13OmlAJJBamT5xIy0Ka6KRjnvmjyptjAWx4CsPkSjwWAPX0jGDT8nyMbpN4Vihdxd
aPF2ugEO0e5mI6NZOTQ4dRmLbkuaL8nacWiM9rbKroM2yeZrjpf3mnVBtVtw+fMcZ1Yep+NTGGZy
h+ig3YNK+DSwE3TTzP8cN9N8n7hzBbSUto6d+yjQOxdVuclh9eg5b92pnH5FafdIxgZyBZqL10Ga
LO/KBQpZ7fflDi+6s4/Cwb+SYcqes1GPTdgjvGs9KqOtKpv6ulsivYsDM+CO5GzG1A2nvkRfLFRr
HMCcqGMe9s5VbS8mzSvU2sTMuQ+TB0Zlappga4SkVmWsWNDMyvyObv3Gp+pk127d8hDQI9ahQnNv
eMeited3cW2vbdKoDtih2j1tJGrWWTIeRNJ7cCHEoMKbjY+Kxt0mk214vWTuuz4tBXKPyrzP2yy4
IgugexIk0F3NpSyalUEGKSwOatfP3VCE1CVCLKeO3fw+S7v6A5JyutroncGkYYnJcf9GwYGZnHFj
eg1JuZ7lb/LA2aEQnnegX8rjaPr+i5GXHyajyckvB8qwHtpW6bmcA0HGBwo2L12/N8mVXbsBhm8W
/xiPBWqJKE6641C5rxJR41Z01ri2pKmDPCsLpWhrv0StiZaCBMnpg1OLLdV1SyWYmhWccTOHIe14
j3BqrRtW/rbcpjVAESMV/sFU2PBKcPYbJeaZk1ZY4xXzEB8xkN3jM2QhoR/ebDrXvB/GvLC2sYvJ
TLP4lim7TyOLfii4AKc4+Isa4lcWf3oDmWg2S2DJTWQMFUmZCRRZKLY2OksvMViY2tQ7BHk/PhvE
ysPf90DnExlpJZuWHmGbJc2WGWB9nSruC+zC47P0GPov3qwpHaTXL0u3bPvE5LeZn+48+pNPYzwF
XOI2wn/jlKIJRZeNEgIqHgFJ8RVE+Jtk6NR7AzYGMSvBtZdXeJKoBh7KXpgfwlF57YoeT8SYpCGI
4b3yEC1AG/XC7mQ01iL6A6tWyEzFBuZK29SgcorZuEW3UReCOpQDWKgJcw8YGFKZoctnGd0mlu/Z
RAbkWu1i731w3IsLZd0xzFWMzmKMCVAze/tjkJQ8dUUPAncdXEKrafu65bkxCRbd5TUl18Z08XVy
9eDz3OIqwUHeJtRr1agoRLzB4dmUNkRjn0ydGHSB0YNWKNZlo0HUIRyCnzCGbE3n+aa/xt6Z/Tzx
Bp4XWAz/LlEx31hq/cGUbdk2yUF6MQ/MmAjHosf8PrY+QJ7UVtWDTIrAOQL65wtM4Prz0+CI4b53
8HmskoFOnGnOFO/O5TGNtZA815Sajr4V1UQa06MuIp351OqtJ7JmqMwG+SI8KX2NV5gRCL5+rZHT
cpzue2AgHJNZ0qqLUtD6QwapVz9WXi6JPhWY+zxfub6kIPumAfIXgtNLDPr3hwM5leVqOJapQVl6
NvnN4Rhw7Bm2ERSHihl5uwpnuAoEo+aayYvDuVkDlqi2HtyHl5LA7vumo6HYJGxK03pq70u6hj/5
RH91guh/2vQ/tc7ubXC74UI46nkAHoAvUP94ADDuL6B5Ra9CwdHX+7hRkOrgWJp9O1AoVxfSltXy
bIFILfVmggr9xx+Mzs6bC4eMQ+BxtF6ETwNG//k3R6pPoiKVXZqRwRByQsu6tqf3i7P06gPUL3AB
hEpQx9aVW5CkMupY3x9/gL84V472gdP9gV3Kp3gzJx4TDySD6OKDS1QJgJCKpN9NH1oRxBVDJTHb
lEjuUw0BO3cyWrAXeSq6iasOprAJo9gB+zH85Ib6i8MSQk92TTZ8nuO/vYAqu4+Q3Tmxxm2yvZuo
G7dTWrObuUCYu1RQM/flQlkNS0N+/Mkx0e3w769fONgoAvhHS1rfhp9VBOQglFo4JoB8nENmNbPU
jqCgzDghyewSQWyTkPaIcdA4WnrjVjlANs8D8C5x6+ANyvFJ512cHDrde5FNXGVfLikSXwkmP/7A
4o2lX68/CN0dz6Jv4Hj/FcKZWEaTzoNv7O2EhNiVqBeYNxif2LVcwPcs/OHVLNCKPVRioXkylQnr
AF325WEKkbo8xDaiuLW7EI9N2gb/yerEr5NfzPH20h7CT6HvEdAr01U/Yh881DEdMKI0oOJv44Eg
kWUueXcXc5pmGs1ovwI2BK+XL/vvbOpnsykeLtycf9+Jfp+qX+tKpd9HYn591e9N6MD75RKsx3Dq
PyLv30UqofiFRrNHCCH9Z+KtdH/6jwEVwyjWBljK/Am8S5uP8Yf+W/zCreKzC8LFZxLm5vyTOdX3
9x3q79Alfc4ENchPQ1Cg//yb1VBYZpL3ZAucL+EVbWnBKrLgqy/zzEOqawmL+eYA/cWT6q/e0BeE
/dF3BWtqvVn8cr61FLJ0z7YrUJTqXfES0u7yiqA54H/7WTTa9z32r1+Q25TjRb0VwFX8/guiQ4GL
wY2MKzLxXjIdxsKYncQdF63Bj7/a90vo5a041R4YV+RIvvlW/9NCCYv73HLOeUlqUeoT7ul2sDxW
nojh0C+kGPl5BuE9AtP/47f+i2/JlQSdmzkowMq31dDY5MMM1do5K5ExJAgkJRFzeiIBCBwpf/Zo
ZxrzzWJ9+aJcgRb5xyx/cFPenMMJlXnpT6lzHmswkCtftnSRxszkqT10Pq3MiuAyelDTxHo2t8nA
o9WqabZOCOnWpu6V/tOv76EmAAAOqol5z9tnOroF2BZx5JyD0eHrhsz5ybDL+eX/772YHbskSSL6
AUT7/QUVZ7ZZMIl1zraiTdc7hnr1u5LqLyOI5MdfSx/HPx+K+jh7zKeQlbnMjvAUvSnqUvJLAPb3
zhnF2BclqEd7QcThj9/kvy8d3gTH5OXNWKXenEyiAB2/Y1twXnTjOAsGavXAkwxYSCv5WT6s9T3a
9OtX0nWXoCzkEL6N4ETPbQ0Lvr1zJlIwfOgsiUaMDBqJBerlj4EGnvIw5ybVEZ0zYvFjjOXj62j1
b2Nqrf++gj1wQdpaw62qYxm+P4mRsAS619w5T/C+MYhVFu0/HSYBmpMrlKiYcpvngs3BvNAH3Vxu
XldnxrKC/Cyz96/OgINskPEGZxrR4vcfJscawwgP54KieXKPRgGmQUWaItkv4fafn2zsfsgeUTjY
4u0VNcmAUCK/sc+py+ENQz1CMwqtRAg8zsSP3+z7pZ7l23HAK/mhw5MFk9rbN5NJVxdNI40TmC/a
i4bRksxpMzi7zN8GeGnBT67lt6ZA3pKSWssvPW4dlGJvHmdsrBxBJyQ8mVFLuzWo2L2plmEPk6Hp
PtWQyu0lPyUJMrY+eotXkrd4RvgP/itIveaAgaU9XFaQr+FY80L+FBQ/g11kqoOsfnyQ3Msj9s+7
HAYdfUkUqi5uL9iTPBq/P/3oETJnKm3nhD8Eg/2SLLs69ZB9WyrvV7VZzqSwEq8CqXSNEHL2ttoN
+a4Fo1lu5wzL8wqmIicygoL2utgl7m0mA94KnC33lR5rJhvI/NZAK0APJK0Ywd0lJqbwKCHNjJe1
ep7jA71oN0qPYkc9He50zmcQO/apzTiAsKmz+S6GZN9uMZQxdFsSIwP6GTXWwVIQFHAlJAj3y5Cd
JyOfNLIJh09tb19UDe+hI708lWC6bZjxoM50MG0SvWXdqATtOl4wxlmkHAJGhD4XeqdR6m4xulV4
AtB3k1OObP6V3M3moy9RQZ5KK53vLVSod4boDGY0FMzpJ2sOOWUwijy22yM4yeemINqx6nLvJU/1
OOTCopytkLGyBaKKFgZRdyXBcr9KRosHfB7NPf7hcu+OuGT8NKatzPo74LMKXZ4wl7w2wyYaxpkI
U3Og5qztianOZZw5OyLdQ6ZUr5dhhEaIPnaX5gDMDf9eqXh5FgNhfF+H1RdRkIUs9TUvYyFWns2I
ZVER7uaAtu1zL3WXwoDPdQyjiqNcZoxmFj2ndHDlahwGT9SKJ/UOK19hr4CHttkhxlZCb933dbQP
o1YoTdW8+KdEFyaXVOPLHsXMBMMr8kenbWEaTI8vkXIYprlqctRSL76np03wHCRGpjqYwSOZke+d
LuE7Bolgaq+cgVBd2pl8GFyQ+H1AhKhXr064/2ozZkNT0pq7SQyiQjfzpZlEBKIesc6Ont3lxMms
rMrmWh4y0q8VEzG1D7oeR41BwpW0Ap5FHXpJ5jD4lcSKFFKGQtKOl+sFn0EMUYfQ26Fu3BeP/FFC
zqs2LDZQBVt2Wos4LMvIHFDEnvOpGobqMVjS+RqebbFp1FRbK/SfVrCzYEKfUshYx7iYeRtVTBNq
paXumY1HHk7mBWsFsvMqX4Gl1ZkXgXkunaSWSINCzFq4DwjzNByIFMv8mIemu+3rRMpTboJ31z6E
hPa7qt51UgUVIuK+JGKp7b4EDpxWV/j9TejBVl3PU0Yvvc9ZmdaLzsEbaXlxEIjI/oDDnEaucmfv
VxRP1kbRWb6qyQuJdybR1+Mq7GW6QVRZ7QfyNG7CbKCDSwMq+RTrzFIQD/J69qBLkdwYna258xu4
KKP3UZJJxmheLp+QjNUnfBHxvJpGZ/lUATHZuq5Y1soaOI0B4eiAfMbqEzQlv9uQxqs2udn6e12M
0q2dmNtt2rY0trDUh9VA8bIrA9HphYkpeG1G932ujCMB4PKYtdA9Z7eff4vo5W0RHRjvcCmWH9J8
QCUw44aSFW4NKK0MFvP2xe8c7g+iAWmVl3jLhtbalbLmBwGRcyYiXunCRPT489ZOrI3nk9jZrcl1
8m1wWsShx7U+8xK+lxUGB2ED4ttU6TDCdYx4Ixyr0cbpYfEEtVSMzFSyWZhHbEVZ908y9xq5Hiq1
w9Q2k61n/go9s/5AB12s0pAgAQCa9gbYkbmntVu+46nElGFheb/yHGCoMjY5oz65zVckNlV3jDrl
XaE6LmqD/kz3cklbNUTGLaF0G2Nbyw7u6ledh7CxxKxZbbvXuDVZkBj5WY9fp+NmNzBV9XsaOEE/
ueZWh9UQQQfvidRdxvDLmrDk+iNcmunuIrfw56I9QLHleRz0bkTqo3DQELQFNwCaean2OYnFJL3Z
NYWZFiUaE/so2G2apDwQdTVIh1u/T1xIesBvJ6QvxHVKaKB8NB/sAMKiqvjIfC+mnktgsll2LWru
+UTJ8hOztEB+meXg6DDWLtoWfqe2VeaMv5Hi3cRr+LnuexKQmZImIWk40DuSVTXFac9kNEs+q6F7
yaRrb134QvEa2EijPhSL0RsP6SJRGAYiCf4fe2e2HDeSNtknQhkQ2C8ngVyYzEzupMgbmCSK2PcI
IICn/09K3TN/t01bW9/3XVlVkUqRQCz+uR+/kO/FLljl5ZZUWX+AhrPulqDpXuh+BtZBUnp+mdyh
fqTU8UtU6zctHOuulIKqLw+odYT8Tf5SdeIzlVn6ueb5/JQqn98cbzzBMvJ1IeWN/rzCnc3L5Rob
9o+eS7aBZGDV1cQCWMexKtHVcpDYS26dvl3O/SjtR28FwLwZSDxYG/oo8iLisMPkuiGTtNWWrM56
GJw7aMnVHcZw9Vjn4AUHGDI/ncmoAFCv9o829KZb6XUEEN1E5N5mDGysKsj1m1mtc7ip+4rlIkwI
rtaBc6Tg+UfSGfPTLNPywVLKPA956n6UswfqZqiykL2SqO+mJ/xwCakZOw/atY9GOJNBzqZ0/A60
rbutUaa3TY63HrXeoKlajvWwt1jydiTKFMMxIJIJ01RMpbusauxntOnuMAGAe+pgtp3MRa0PMsPu
Fk7p/K4qAhJbcN5OftQgWl1m37SSb4JkDsqLp82529MEMh645RonsBrtC4ZMwrIGw5dmIwzfhD3F
w3OZ2eG/ADKMZ9V1016zEd42xVhXcYfFjZ5Di+tFxuK2Lx0cnpTwdhhP0smfHlIxzTbxr8TteC6r
4b3U0t6gTrsnnQuWUdtcQhnBwW1w7NWDws7etOIs/WUFjB72VgAnBkhiyer7qxUe/qXQIKqadnhF
HKcXW7vy1sOo/PxxrK3+RVnL+BpUhMcnjWkYVD9kMJ+Is2NSFAhLsPBjG4JSHtGRmH1Sac4+JE3A
SAy98ip2+FHdTyv3FEIC/hC5bZLfkcnVL+YwG2c3lxBncru3dwGBDp/cS+Pu+tF3IfCJHGy94tn9
otpNv3UYkH6CqfE/Z0+SKTQ7j5ECdaH0VBZtRbomCWg6ZCTW5/GQ0f9+8GX35WY6vR+L2maXy0d5
tGeNB6htmz7OdN4vG8cfhqhkd74zKpp0heklMg5Tzuzpio8G22LrZxtXOTK4LZXJGMvxp28ZXjWK
yNO1uKNJD04bQJnqDmwLXIKG7qeHjPFHxJ49Wg524rnSirooZGznj07+Xy3032mhiPJcXP+1Fvr8
S38f/8Go/+cr/h7Ws/9yqe6x6QQgeYegic7wf8N63l/cF4SPfCNQsK638f9nxnVCmpFQDLlMYqRH
hv+bDircvxhXuMgjSD9/6Bn/SdER3R//oLa4WE9dlCOqNa8NhlfT/j/ew0xpGBCgWvNm7sXwNvHY
cfpbfgZaVJcVuZ8zCdgGXbfloz8HZ+ZT0zdvKvqnroVqYQ7jUXGiIibnr2enVQZMWNtLOH/R0UNH
uPFd+T6rm9eabJJBcn3IXZGO9w0Te/vBcfJS1BuDPmf/ZrUG8PuhA8bwZcQ9AbzPKNfW3kNl6Lpz
gOAGRM3EWckLU4aTrB3Kz8rCYUSdmj4Nydi9+pcqwN7DNBRHmAXCUXuE+EQSyq2fmc7IMuxwhZIO
NzrsJUTauJNpRvK42mh6to5+u4hXZ0nHnoNLa7VuBMpTB8CY/MW9UbSfmsmmXBA6nxPK7NWExwB3
fJwx4PteNEnweS3bxNEsRuaOZJJaE7pYwHTdfNLrQKZP8hE4XOhW3GLGXq8QgjC7TQprnaKZ2odx
R513MW3XtqAuNGiLQ51ykdNNLusNm4hkD9cBB+PAfV8m16ERlflPPuZPaXW9F2tVnHvRtAcQD69F
m4MOkTNAuDoEGzKnTHL7Os3ecp3jMlwgO/mBPlOLQ+GDUm9jWtOQUI33dq0zRM0pJMCdej+lTmb4
+/M7vo4Rd1oYlRqZSpeveoJgshCPPyKa/qDNdtiCYlMwFNVIcNyo94ofKc7G9joFhpzvZ/4uEM2e
GcHjtOavXiXo38zl7Tq2HOLL9LJmvR/BI39v65Hy5LY5lBR/Q6W0Y73WXFCWzrvtOtPCZLXeZ2nN
gVeUrx0upFgN1C6X9fSL+lvvXHtrcj+HLWcCk7K8UCksWwA+ykWVe+7i1+1luhOF7cXTRG8nReXU
opOBPCGuDudAzmJL2sO88ds83zWaLU4ZaRatTOl+5OTW97Ac8x8Bq+5RD8uy7XrXeEy7xWELTX8l
HMbvXEM+uTLXT01NNwfeK25EeZcfmvJqIM+JjgBmY9bXuIrIvevcsC5ku4GNfUd41QFSYoT7yWMz
dXG4SBSmOGHt2JTIDE2U6PxHa+MLm7ijU64zEEs06zFmxFtzH5SYTWgS37jmBJPe4B4RCP1suY25
AUf2ip/5BugG9vex6zeuNN5cuk2g0unimPUuR4vOyb9s5Q4faiUDatGRWNJ8zdGgZ4emC6YEGV2q
W8+TvPHk5/sY65fx1UoPrMTELAjYHUJZGg/FtC7YQLVxEKWpHukUn/2nijL2ewJNnF965Ksr5MDb
Xfsatwlb3hhZlSqeKbyRkcRmke7piBXHRqUDzdK25E/jwWIImszyp6JYndLZabov5tKKponHIg2n
ytoEWi+ffceiuk19ZzkqmWNkkvMyh3tKZ3IdGYtn6qjn05aw+Wb5ZeGFzoE0J93O00plX4QTcWqD
Z+3J95t9N18ElQTv5Jhm3C/UP6w7a6rN26wJ6/2cB12U9YZAjG/5m5UzOlPh7fHvskroWUQIBMbW
tSeF9X/FJd719jaB5rzvU+4iIuAczjT91c87fakK4zuv1JtYc3PTUJIAEUcepdE7l8IUZUzlbXHb
GPlnMgZDnIsuf62Homo3HlnNsxiWycJFtdrxCoTnvq+Tl74SZbBheBSeOnCZRyukwse3pxOJ2e4R
2dZ4otDO/y5qN4/TMuyjtQ5ppuVmyGtMvkhsE/ywyBKLefaSpQW3I8c4lVJeaBNpSWnmza4lGr4f
rm8tp0wPhxuuyKTnVmegs1A7MgGvcKhaWMbDzEyOEgLENfaSFZ9S4jUPs728owm7B6Jb4c9BjA++
vna5jKU9HexA4uUvoLeZJvdTe7oBwxnEXCRseyOtTn4lreNsC0MatwvTPiyByoobc8VB3nLCXFJK
kxLHYj0IlkvOCftuNczpvOS0UzWL8uO8wYGoR0KaEwDxrXQEQJ3Q4bQ2U3kMHhoyujXsKYYbWIPl
OVSsWitlXxuK8XgSMbLdyNIBjjcP7ia15kcVcEUpg5boilMTwFZteOg1ndtLzyXPnNA6LQ3c1Avr
n0vXTlvTuELDLQPqL6wJbi8t+YMwEONzmBdAiYJyiXsu7Wgh/Q1pZIwvAMZ177/UuQ+/M5zVzhw7
8gsLYXTDuXZqNBrOhqr10Sj7TwwE50om3GA05RbrjGmmEn5zJziZnITmF9uYS7GbcwkdGgWWq4dP
qpgelA1p2RxrHC47g5a1jUKh3Ii6ZL3rvY+Vik+aaihAzUr5IdqypGk6we9IkHeT2POy6ZbCOvEM
IKTlThbNZfmlvCrcaVSYtOO7lmvIWlYsbkK9OD4RRDKWfhznP0jOUaFayeEe5GcSZZM1XmYnAJ5f
AVvyzPS9tdyvLux/OTKvdpXLgWHSzhuXlYww+di/VgHfah0cYkNKy68BvzjNs0UZ00JTb/xxzu5J
DRUPoWhBygdiPU2l5Mfglx+qTojMTbxdrFLTW4DVKnKkDVoZWvSU4tIrIO0TAs6rH4I8eVSLpb1R
EL92xeSjmoRGsxuLtT4xjwFTtaxONNnLjzGDrTuR7EJt5TPMGG0hL/UBsiBA85Jad36g0Cm5gCJz
NPzAOj7+JMvinde+lGc5N8Fz77t8LVe0Jy5mN2S/KWCpwvRBwQ25d+GWvgMhenI9j7tPlV4c0Y4H
WwUp8l1WQPkfKereZHnmvIRuOaPp4dNbKHF31sQT0Lh8hDE1YY9f+2u8Gce4FaWt+HQb3bjxwu95
I8g13k3WKg/mqv0DjVTBx1yO5rsyMb52ibxbTRvhYJqy6YC+at/RkjBBVS8QbByzk0j22RKFGI8h
47ouT4RZP+Jndx/x9oGSZdU0OGIwUo8IkVZf44Cf4PqipvxOmTRdbZ6Dtye17PLKNJ5sD8MYkqhX
gm1+SW0u3wv3KmmemCwX36AWmD/Ilh+rGftkXLRgf6iI+oTN4j41VLL/tKiHB06FJQYAeq70TYdn
qyeJmRUq1u6if5pVwN26VePTOhPcTFg8z4SIqj2W3/vVa24TFH4/ntgO9MEy1oLH2Zv8z4SsdpSJ
0b8LpZu/ud3gUCCYu/FQz9XWze0OXzZg5njo6f5qIYM/DrZDAJQC4fFCfgkDvJnQqck1VGFjZdxQ
x5Mel7uG9t095vVil/iz3FmMJ7cdn2uPqGXsC7dI6n3vV/kbq1n5xhanvlW0vTyVhUwYj/j5jenO
nHiT3jv2UCMJnhpjAk/Gm6vXVIDsuoWaea3gyDDIEytqN5k5l9TPVOFR9MMUZbW2qPF1mg69LDW3
CMDDg1y1fDODVX263TwdgrENb+kKlHdOmg0vre0OaMxjW8jY7r24rN3rZDbr19dwkHVbcH0Y5+eU
MX0YcU9SVFqHnY2dseqWaZsXvA+3uEcQjoOk8l5mChW8bykz3TWGwsvOGign5EUcoEkxYEAudMAj
Xzy7zN4nn+IsDivqqVopzY4pCDHOVaPz96R2mx3e49qJ61VXN/DzzbgIijTYOKTZgs1Yz/Wbmejk
YeJ/PWhqFeBnhE/0DIJYwq3/o6kbikoYQ+w8uaa3Q8ORtGqmXoLGmOpnCx8Fyoov9kBMy1PR4u1f
apnFJByrqDPWaty4Q+fuZpgHD5XjDpTIr0lNYzXK3lRY6lQ3qyIlVDQH5SNHiM5OlseAuUd7B3IW
9EKYarNnRhX4HlG5z7qjqmAEV6CEoFSJ42YeqBTlpZ+dJ4zXHlBqDnht4A/joQizOsTusEy0QGvH
gFFYWFtawpshtkHhbzodAJqALmcfZOa5b+SdahUzfiB3NKB6WT9CL0hi0yiS9JRPV4YGj/CAFhKk
9JcLMA5RSbCA1UcO7WmSBiHuMbQedU8sApnI2K8u3NkJ7v+xn4fuZuCZjJW081NXuAwChfK/6qF1
fppNCUFioIITYlfdPY9A3PN3C/Uwqkm74Z33wOaP63qlUQTBL/Il6cEDK4EXXsKv7/PBf12L2dzm
HqvzNiQfuMOJsH43OVjfzguViRX349bvzH3Ltz2uJD0fOmZq3zLt1I8gv93j2uVzJGqni0GwwhWz
spruy3KkXtxMOB1Q+rbXaGTRMBTUFDg9xgA+4wtzhnortQ6jtbGKbcpex+G8X7ZaDHKrKv/G6Jop
brm4wyjOw91QmuK7iwJ9qMuhgyXOysTkL8AQ3Gb7PLWneGgJxNp57fHrHbP5RxUa0x69+87WWfhp
IktNfJLNIE0BW1gsB9oRIO0plZ5KrrR6gy1kBiPr9bsu1O62X0ruNzyUsP2KPNvOYJa3YcU2nkD2
+xg502+u8ZiDwTQ0NvCTwtD2QPvBah4jopsLAisldm3iwBYLfeNO2uvy2M0ZVK4SzRdfZOSmjQ2B
eUblrZYs+9V1nnNmSoHih88RJ6vBuzuy8CtY60uVVRGAZYZwpZzYdOblAdhYeKHhvNwWsE8OpZe7
W9zrLJjUOxwp0bgPIPEzaGAUFqku/Q5eroCoDL6Ng10fXEqjH7AwYuy3KjS1ogrt9zS0fAAEI+OH
Os/qd6Mb33sbpEk2BXvH1cA32276NDUbK12r681C2pmfn1LktlxafDQR3mgpbdQHP/Vib62+A3PK
thO/LTI1+hvJy9ssDWLaeD+hcH0bCyawlVBmu6W0sSS/YdtbWrLBqVE+eixy7GrlqKkQS00v4sxs
kfhodFFth2vtHRPR/tR6xZVoPfqo06UficHJT1WalvfoD6YZK0erYDt15nQZJedtgowi7q/yjw7G
7ibs+woWPMgF6N3mr7nhilbIYjrUjlTxbPTioZCgw8pu+CkzLY+UoBVUFJSkf5ghZtnS3QSdx6xE
GOVRQHV7WMssJUbW/+C+xlFsafIldtaivgEJP5Uo0ePyNgFFIz47n21YNa8cpZ5zo2cwTU7qNvPs
GYLPysGxzW4S4Ke425UxMJBTH6HVn2drsTfEI14bilKiYnKcXeeRj5xdO3jLtFVviHg1cWgGUyRU
4j6vLQWT7lqK22bJTrnRvMuOlrplzJ4Gz/piwMj5b+F01KQ0YWateGfCVt3YU+N8jkQ1wCgMdtwZ
9avGrvHVdbWB5s2AWuIVmzl8604hD3v1Y7BIEw57WmCx6YLkYzJVSZZhmgYEimV+JDMG4bwKkgTZ
CVYV9U+MIDj81xZ3HO3uS2WHjw0LFuNB2209/nqJr+BwZtLgTai3nllChgW8M695qrnqJDG/qs4/
UxTY3cHI42BtlcSUxVqCViUJVhEQCipr3IK96i6YJoMb/oH/VDbBl0jFo1O0LB4klY5hZ5bHxWVz
tez5Z1IS7twDaMI57QHu931MuW6ljysVnrzq1iudCU1UAVDaKHHVAq81L0sIlxRHHwNSl8Reklvu
XrichNNRsCR4epjmQ9Girk/9ByjHo+aBj/CwmzdlapyTcOSsU7n9tqB/pLMmuSPO4G8pDa2OnYv8
14fmGDUc9SNOpiJKaHIa0umBXDvzAypXVbK421A3D71zxT7Vi3/T0OZNrlxmFKksCIhrbdzNwnnL
CabdysQA6Th4OXK73ewzs0tJ99TWQWP0jwdXjTeNTE2UC9niyCZCNCfhA2w0ZLhkzqOsXT5KzC2R
kIu9Y5RLoknaP5gmW09zQCeIp5d5iArVzr/c0Z+eWPswRXguHWBUbx+HHjHKtApGIAaBbsa96Cx5
LraDWZYHimrO9PRSK7jaDiXv+RyqrZ9azPcKvK7Hnv3RCteWxNrSfQdZ3r6DRbZhqBrr+rOkjFjj
7iiN761XD3e+WRmHgg1v2Ni+r4kPFcPJL7ki+WFQYGjM0+NAlcTWrpflB+csXq0UdCxA3eCune3k
vMpM/TRy7ysdrIVIJ70Oxx4Z+oGeroSkHAVeUZeb80ugXXUvROasl4EGMFALft3uUUGvHcGSygn8
o97OanOCXjgy6K4ReUP7+bp0O7iOGfeFxLhY+cBU3mUzOOTJ9Lyk7gsnBPepZ6q+S/tFHngPlq03
jBaXq+B1pi5q02WNeErJRUcEpu8Ca0y+15ohGMm2ICJrIvK44pJu3M6CQ82papBWezll+B5CqXcp
oamI0aqnCJKy/mw8Cbh/nyYzuC0CxYwe0cI409SetWm43HC8myn7iQBHDa9D5/S3fR8EMAWYhJsb
ZaLxLYTaI+otrHev1aF9mXPXfJ74BjTk9mp9UyXeFl7jBNEIgZroK3ays606IK48PXhiulnu577J
T2vXUcDLhhVu5KBSTkzLDGdfyFqyzV9PQqwy7+St/A9nyAhklKqQh466jA3QTGpIxgAj2SY1qinC
UqCfXNVJxCcaH8iHLPRcdQLLSiVGkmhZWtCdlyZArdDUlselnDS9I7xo25VAJNaFkYu3FmzRHEHr
Lp7s7mvmeL1lRPCwGBzrMW2ZR/wFMnY7BZEzT/oHDfzurSg4gccutF7u6651P/Ytg1ksLMHjiIGE
E++QtvdMvac3w8nV0c56dJkrzOM8LIZ8KzvDvMCDXvaiCwCiqWm0H2iW8B9DhtI17VRJeGsYmfhB
/qY8yjGYnoSwEUO1ULyloG4YI9du0IBDGGnRwOtS8FLODjuWmlEFN/YQUkmCwi/ZT6hSqm4LSyxU
5nizy2+6LrZ0rqRFrMvxfk1HBzDR0jEFRYZ6Nlc/PWJGLaMGg+0X03ILj8LIQW31iHSjdAyXLAyp
Fk2LvH9T3rWDymDXTWkmY7On94HLTr4107HYM9Km7wBp9HaglPxmmk25xRxVnjqraXAj+JZ5atd2
fpEFYW5WWdItGW1CkTcAB7dzaTx02FIu5N+DQ51Z6ZauaRpsRtOJ7A722cYYZnkOqtr+hnpLyLid
u2eT891paPuZbjZO/8iZPiqNATAgKyZq1KjC1cwyoJmN9VnJ8KcxWaQbrTqhfcGVsbGs1jmceDXs
QmTbvLdvSJYH94329M28uNPRM/x13ngJo17JrUNxYozQm4fjSL7wbAx+eSJl8wNTobWd8F3uimD5
nmIIiwStgQT+C2RFK6nRyobl1chhNfqDRaG2oI7e4EHfZxNul2lYKHkfWzSbtmwWgdC2xpmt8dFY
pr+RbstZ1lyH97xyloirwnpYBu1hurNGdR/4LTqwxXA2xqU1VY/azXL6YthsCrrOS/SsqTxRDEFx
K+MbNFaLk0ab7awyWDdhu17ccuXfmwkVVBQ3zkTzNmIqX8NRfLNTFmvXaLY5IPprmf33sMGbEqYM
PGYc+DEQADOmJqPdCat0DrNT7520eFwDIrotDlwY0eZKu8t6Z2e5vQGk/UZ8vLj3UnVIDHHgYCX3
0+pMH4ZmDCJs45ttWtAiVk7IGmjDvpvYqKHnfa/Don+YVf8A+6ZaNmYbsLVb14tgVhl3gR1SMWmK
7IY2CHHCpPHpGL46t6IZYFRrZ5MzBkPoCZ1vcnbpQaz1aeo6fTNU/dvvWex/x9b/bmxN3yqG2n89
tn5qFS0O/z+YFOPr65f+HSYV/MXKavoeKQMLYBOz8L+NrwP7L4zG7nVmfM3wXP/L36fX7l84zC03
gPJEvMb9Xy0ONgQ6+hIJ35ChcH9z6/6D6bUb/tPw2gEiZbqm4/M9PdsiPvyPw2uFq7VhC24PevKt
eRtmJZcCVOlwn4Fo3HmNYKMDkxk8hHQiY2bNm/wye7qNJ5CuQUxRA7SPJLfffht0W080T9PoJR+E
ILBfrvbckTZf3UM3cANhrGa5t7lBU5pfNq2OZl16dUznC3tAZuN3PgWVkV1KqzXKDRKNDVKyp32u
Z/lGj1iWGVi28qhQokCy+RprZi2glhZnVxqjc5dZhb4vs8SJjFajcJq9gQc5Wa6CtOdyMzXsjNcK
cY+JLNbVszAGEJRSYOVRtW0f5zXALKtJo28pvZvezZoPFTPukb/4U3BCDw5de1GimpFeiK6nHdX3
quUPKUgnjYdFBbG0hK45u4ecGJa/BR9Qf+X8wg8udrx7r3EZGltrnnyuntsD8wVg8NZR+cj35ZO9
OTBl35rZLB/D0gTqrvOMrsukecb32d7JcZiWW93rlAIfJbiKw+QMrlWulUX/rNW35mbNuuABEWDZ
9gQy8D5a1DNtTJvKyA0mO/8BL1j3YaVBcJ9UBKAZ4A6mFScY2dh+KeDd+QF1he7q3+iu7u5Kqw/v
3RFN+1TAVD4wlu92WGbDU+Xl/Z4erWsQP4TBmdGGipW1aZ+gYAQPBjiQC2UARGuWwD3UFkSfOhkA
z7Ql7J6F345RQfHRym/vEF0IPa5OzTHTL6yjM4JwJ5euHA4Mwh0PzMElf2fL3tkN1955rfv3gRX0
raNnEJTf2rsekgf+aMuoYZky5sX4xdjmQXfY/sjehE8Cl9qDhn1G85EeDBTQyf4QiR4JQFaGC2qB
3fx7AFIDr5HFaK+zqSVkRpseHY0Gckj8Xq6ol1BC93mijJPAQTXDSEJbtk0y/VAcoBjTZ+iWLgz9
uVOPPki4khpcDWeEbih7Yw007DbW4pyzP4l6+3e8PviTtfd+B+9T/TuFb/wtk/87oL/8Duv319y+
8TvCn3XXOH/5O9pP+k+R88fzEuy4NFzz/0k7GEw5f4MBiFQACUCmBA9AEs0dmJ0J85ufpMYTJ1+u
VWVy9mvK4vMrdyADQJBcSQTVbyhB8YdQIP7wCtLa9JvYv3IMCAnmoKpAHZhXykFy5R2YV/KBJO90
06/p/JpLLgIGtbtnuE79duzkY3GlJ9D7wQjeL4QV0EGfza+eRwfZgdfbeG6u/IV2GEAxKIKpXYQH
iM7TAlYDNOIUvPLvY3PDZzgsZs7ICJuwihdUv1uDicRNq2i4WsLmsV2DkyzG5AYr80j7S6uPc15w
twMEu3VkxrS01fvZcIxPd2WloUIgokl3rwPaCpZcWJulk/4FDNQT+LGUQo0ZSaFwX62BAuMC0X+D
h62949z4yNyUoQRlxBtjhMVBZ+wVz5Ugv0MboFgPH1zhNrcmF6FfxeJfzFUk7/1QzgDr+4pByRTc
FbheEbeQX51qnO4tldi7/koTmHNKNejeuuR9sOwrx5RRRhnlbrFKLBgGX2WVSxnlw9B2ID3W9zbx
XbQM/27tBkZbZYIwee1QBWC375Nm2BWegW1zSOY7GpiDDW7THyGr7b7JMSDmmGF3kAqKiBqBkamq
IOPS0qFRTZNxLKDv3TK6Bjrnpx9tLphcW/RklD7gFpjiiC+yHd7mop8PZp3KFwDPkgdjNvbpoL/U
4FV7DrfLVg6z9TwRq/qgbsuoN7RhODde4dRYl0hl3iivncuDXTsu3ZN5t+N2gKO/SwFCdap0jkFC
DprWQf9BIcbTOcDWVNQYGaXr1DwV3upflrEHS8ycNi+2QZ/Lx3Dsk9ewd6+hnjqhTEZlF647/Y+m
vR4zMdSW32hGrHcW9nCkFRHsavhV+3adcCfPifnGXNXYyulaAozL/9IEgNFoUhsOtV0HD3gSmjPt
SMbdeKUdk5cwEQ8ADqXj6l3o/rX0RmlZWkdXF+kpLOuA4unmOjmWufKjUjAY3fQeIxdnZkjoyqs5
RVj2xU4SFLA608MGDTvf+y0Kl9/55dEYUkZcXaq4fSrjVXbm+MYTh38yVxhtTXu4loi0D3qVJlHW
sokDyU9aVTwGzrwztRgjbWUOpSpDsplGCueHxC9+2aNT/4KLg2M7A1AfISnSijIQtjs2Pjt2VCw9
UwA3t15aaMmPWVgGnxxy0y3T4+DUJ+LDCNUXNdHpN1JMenOtjotGx31pHNdgkjCWnJVR7yYL9si6
9Al12c5e28VH4qmfgejd/do6EnYf7i47X74t00LBb9WK2PeH731Na95ko2plutwOluh+pQlWtrIw
2lhAQDlMQjVtJFbcsauXWLjlvWFbjnP50FjepUllc6pXDNq1FEzcBQxYWkPII3Xb0arXy7XWiiar
8VMV2fPCZTHgLsc0zEYJsSdYMpDjYpfzer8Jr4tr6V6FVLunCtQZ8JKxy+EYSPLvoiyfDeG1UON6
8yMTPrn8PPB/DdbwqCbrK6GlJhhycDqG/46fz4x7PE9MOEz/GC7JeurMqzpo9+9tunY74s9HOOtY
6UiJbKempxU3nexDoZcaTbUDBo7AXXjWSz4v5animcc0RauGxSh3LwqZRZ1Z7Iep6o6t1E/OSpLC
WrNmU03UeGTF+gmCyomkrdonJhhTlI8rP+uktpeYYMW0db2WEWAz1jut6AAcjOBnkopv8K+Sd7N3
7TsYprBcAvehtyTPlfuzFgiwgA1Hmm/z7pYpTHurevHLr+eIc8EnU/g+ixUfCU7nSJV3B613dDqH
O20GGCXwMurnZ//RMpaUy9Jc7PBf6juE2uR+oMUc51rcVsM+z8xLtow4v3yqR1DVUu6RmliJRZDa
ph5So8I8JldQb4dGpDbgf9tHlakWEwNN5hOUKY/eRIct/WT0oxeP3voqgeNdD5u91dwxjKZaeQ5v
oS1/ARk+9KKuNplh0nw/3q0VCkvGpGagqKYgqjBUYObXUT/PXHQ7S95JozlzWgNY4uHpwkCiGUhT
NpBM9GYtID83dFZT++3auZtstO+4p6YgM+bVPahxPAVi8SmjBNS03ouhKf/kC/978fs3Fz+OYoR+
//W97/8M5fdm/EfH8p+v+Tu4IfwLvpBn0tMAovxPO9/fwQ3OXwiNoIeEw/0tcEO8zH+/8kEP5kvI
hVPPB/3mfwPGaR6xLP7vgLjnH5vzf3Ll++e6EQumDtA/rpAWeU8+6T8Ft6+Vpk4nFDXfVQDs0jWm
y9DIab8mmT7Sn+xy0MY3y8Y2L58gd/yTW14PMoGF/YpSd5TWsTO+k2sxzyUdK5e1SYhlFAUKm9d5
TYw+518ybEmPC6P1Z4ojKuYt1/7T1LM+2i4JtlXh43UVHt6dsf8xjUVx0AZr3yYvZra2UXXrT7Mj
HJlzImT2gEvjCRpheQybCiOIb1d7ZSMbatmcW1fkEMiSOjaKOjta0zhDuK25iMC0pQbMSP1j3Suw
MEml75jqVntYpUBWxnSiidXT4kEbKrz4eWmerSU3z4u9GOxHrQ3eChbl3mpF+s0K8xDOTnlvMaQ5
kwR/ZsbRxpaHlNz0Tki/Vd/ZX3jX0K3rKxPLmhoRAZuS91wdHca8IGVJt2saZKtc7d3K7D7nmT/E
HmxahfKh2mNnK18gCXpop1Bq9l2ti0M4ShnPHARi01+sSFpCvbVBntxJlc0Pss3Xn8y8lm/NoOyH
tAyWg70UA4aMQj+gO+SRiRK/6xNCNub/sHcmy3EjWdZ+ld96jzQH4A4HFr2JOYLzTGoDoygJ8zzj
6f8PzMouicqWumpdmzTLtCTBCADufu895zujU33O7G7c9Hmgd2Wf9nttJnwM8K4r8q7TA54U5N6J
7L4Ynr1iLEBSn1eeWXlwBEg5bruIkXUC03PTICvDf77kphpH4sGSTVAV85Ps62pfVb36FngxMcNx
G+EsIiMKuAcxFVmYXZtELRPKQpjSiUXaR4o0x91ZKaf4MUA8+KIrJyNmyilPfukMd2U/VPeeL6OL
GXD/Bc3UkXNnbUdPfitJBetEeicLWe4z+E1ILKiBD2pMAQcmqW3fzJOOLgLoXDtMrUj0jJLWNfJh
yvm8rdxN1KDadIZIXHOq06ciaB1/Hc8yfSPfqrz0HYcaY+zsM6ct031WOtFL5+rouSK9neNDqW4y
l2iNkXy9S7Jh7DNrUOiluiK44tzW3Mez7TEDb9JjZnTHklEHjZBcuZdWVVov9BOciyqQCVjctDzQ
rGd6h8KOEHEZqqu0HM6skDhd6m3st7SjuzAg+qBzOatMY0LScOnr18pm6FWRYRvghiOAM1PHovIl
hXzJGFzn1qMtkzfAwmWwNgJpvWg3vy96e35smnJiXJeLG0AnqDpG4MgnZTQLrc522UV7U5nk3znV
a+PX8bUOyN9ZSdv23kgSCPfE1DHkmKP0wY3IXeltXN6iT7KzOOAmDrYdLYdMxi8yze603bSfbdfj
VM3p974t8mNgDc6pGKg6GPSuZ0cjY47SOLlBypHeKj89OMxdTg48q6NMsmLTcO5fdSyWL23hIb3n
BL+b8CZtIKaNULFA/ZW027/OI5GidhKjNA8nmiClSp61MMYHnZd06bFjrrmhWIJA0jGqd8zymoyT
Hcl6zJXq3o3BhO5UG2d7vxnEhet6KIvTm973+2fDZ2qQ0FG7iUVgH4CbMytNB4b/uejrN7Jb+Euk
2Axi1OhbBvJnUrMztkvA3jM2L9JPQGlzRhj0og+dp+AK5X6yN0bAL3QqlF7X/eh4a9egPRP4Ex37
mR4FfmKszSTdPWB6YgoCabbcpHVQscw1pAx4ODzOgrLCpJv7RFKaxnOMN99d2tb2FlmZXrECiLVX
5w4RKtFT4g7imIpGbAsRVysrTgoC1cIZsV3o3ajMJWKKwD0mR4HR3jDeSDh0Iyyhgn11Yj3CClbu
tWgWdXmZ2eKyx2+3dgnqQcnqps42gzj+6LFrXM4yDJ9qF9kEKuZP3tw6B3bEmbNOg2YikHjP+iE+
b2JEoCiUvPOsk/V1G/vVRSyG6tHwo/SySbJyi3Ux2JlewQAbCDeKy8p+SobMOqALs7eIzIpdOMbW
VwZD3cWgvPJVolRgc+lm+RwS9PTQWliRV06UgEeMvYDMcuKGMIci9TT98No0aewNYDfwbVTjHcEw
2DBCNW+mqaUqGC33zKURxjwqLcIrW8cDDxqCWs+QquLOdvMejWRHIT22QETn8iHt/H1kljHphj5S
1N6WW8h1okQZKmZgwUYuV4qwIqcq+kuzD6wTweXJJyxFyWawHJfqiO024hU/a5BtUnS4I46NqvZe
sEBEm4yG4TOtC//AyoSao7U2k+Wo67mLjbdSaiaDrWvsskATxBTl6VFJw985MmhuUkZVD8Hg+jtT
VOKOoHICeHpwaZxHDYwEoa4v64nauJmnNzF3LP/U8jMtx1EG1GmDCRPXtVdWY5zhibB6nHU1sFrA
/oPKEITlxDOyokXixrVFzd4fx8F9pziI0D6pUvS8ttfeVKj0DkXIK70aqWepwpt6yFfad6tvXl0m
RxrOILxJ9juPLAAWbp5d48dPDq3qXlQNgpe1loGuC/Hsc9I6LyoKX4XffcPl/0LX55YJMrFQ81By
vSo71rmetnUV3VtVUJ7KUGvcyIn1mJDX+maDVnmqfX6wh2XOow7BvE5OMOQj0Z0IT6z6dp86RA45
8G3JXXVWcBoEqUpW0cqtQ4jL+Uhjn/EmsqDrqq0mB5Gs/62LJts9pP3AjTOm0Cp3Rk9Z6xcCiw+n
HgCnJSTRssJoXbKAcvby+o05+smuSqYgO7nGgtoYYmvDIS85M4MpPzFk1S9EtVWf8DgGMS3jMD3T
IQDP+y6cQ3+fzgl6zPXYDDOW6qBV8Rc3HBvjQVU+WjQz7P2cbPsoKY7V4jXI310HXpHveqd5QrGM
b2mkvSBota3aQD6NhjUcnIjgVBSWgAcWI4O3EKIxrp+iWp7TDWbWKQxktQkYhUdD98aBs8hDPofp
NnQsfWIHMe7w6wfnoOuQQNMPvexJVr6suZunuR1WbRgNrzLxplO9UHZpSXR7Mx8RcXfLcQs6A+RO
ZddnUXRM/B2G12nTF357cFNbYtmHF98wgFkT+IpzAspAXBnBcZZBiybX95GXWtEJIdG5Y6Yp3Giz
PA995ucTEbefOtsBW4syeR9VfYRYC+aLEUCmrsE8INeTJHgWYcJG5jP4VNzmQydKABOpBf5D+OIb
sQMco8ukxCfGINQ2v4B/cNynRnS5bt46qaEWPfiV5MQBBjWNqB//M737v0TBAL8SmEH/9yruSBAH
Wbw/+E7/8UN/lXEaXJ62bOxKyBER1vL7/irjTGo15bicU4h0YTpHwfgXf896L+OIdATzuDSC/uk7
JR9mcbC6jNH/LAutf4m/984L+x7/g+cVb7wSEPGAipFJ+ePkLnIiGaM2C09jZZJfOpS8aoBFnLOy
0gYBunifGJbEHnGyaA95SlXEfIgs9pECDajDoUY+4GOPJ9h8nrUEntAXaARaIcabzpaZ3FOxTMYN
MPv6qcqlo9Y93BSEosjCmZ9ZTX++JKkilaW0sACuixk7adE559DzkKk1BD1hSZ3bxchXgKZJtU24
CzO6cI3qwj/Bp+CwKhFiffZoh7+99zta5A7bAH9DvgrLRevK5MhSFCiDtM49Cz1342XOxSDRE2R9
d9uQZLDTjYlBfUp7YW8YnEZ3ZRxPN8A82ss6sLLbDL9nTsu/MIiBdZmd4RQUSM+duLxNFfZ+fn3F
UK6YDsHgIL6HmHJmhi7JWhaSwrCIip3KGS9ZTYivpkXvDxtY+VBfW209EZAHvcOu0zvTGh2mqPJT
0E/llSroVOazbV93VlwfGTnKTWha1yFwwY3KHb01JlgLIwD/a1sb6aWdD7dKDKwnaYrmlUSb8A3c
dLmXGnh4rWnzmBkIgoit57avbc3XHkbBRdM18nIIoWSt2m7uzsWwJcm2uPSBHX+Le8fb9YmcAL9E
7jqodXNrOd6b8n0KP5+xoWOE1YoBbrXikPPkSQMhM+dwMj3UqR/IntGRl9/FdWPfMsQaz+xSD9dR
IyrELuFnuE/hKxrKYTMH41kq1LRRHU43InQJN2QCedMXY3aX1kmGnjBtLmn3hgxd0QD5XnJTp3F7
aaBXXke8sQ/JyPhENtZ4OUUNcQujsram4i81xiHANeQH97OrmRQAfkScG+eFx6+NY6oOJPJniJfE
aRLdl5T//yroZHqje4RBEOp971ZHqrxxLahMc+3HPnOEeb6Ui0MsLntjz7y12EP/yG+FxROtna49
txIpmXRYKybYEn+i1VwUDBBf+lqrCF5+G5JUASimlAk8dtvu5aaCbrPvUOnvjApbp+01JxE6F33f
VBpREvatqqC8cGN8nIRd9lhBeQY3o0BM1flGS05T+2gY6S5s5ls3Qo3j6zPZe+OKQcbzNHTxdWjD
QWjTRxPQEyNbeUuUZ7oF4PjWlFofs7h4nOyllWs1nzJN4Dr8KnysWWSd4bZMGelzp6YvBsRgSBao
T+ZOPOEFGdc01/0DvhLjYgA0uPVRdW9iIV9YDJsri4bEDnp9sU6TQB3Jp5aP0jFwOcW62TDaFeSv
ILok7V77oVpGJ3hC/GrbabAeqa6sY9ywt0fnqOiYvLUAohgR5z6mWqxBiKNktqHnQeE4lNEuGeJx
LZO4uQUAmN6UrgqOPRQv6HoJc3oOaTfZmM57CF1EMiDX20Pgdi5k3Z+m2h6O9QRhazOYzXAzyPYR
SoaBTGdSWN3IguIFKxo5iLs8NhYDYGWis72e/MHOzoljv4S6/pk8PrV1nNm7j20Ek5J0qVVI7+Wa
Y1x0pcLmNac7fVRERMKtMF+dEjXuKqxF+6mh9bMXnOeYyqTW2ULg3QlL8UgL5Os9GPpFlJ9eTyy7
hBGx3qVFXRRrnU+f5o5jMJUmMZoESJ4T7j59gs1Nhw3lbXVX1TihBU2igFPwVZGF0lv1XgpPJlC+
eYT0EZI9RReyXKWqF6uG0OxjmfR+sYryNt0UZe7dtrH+VhZiWAfWaO4IIYGDrlyTU7mBbm5FJy+D
HEeaFESgddGpxau58OUYEcyYz9tsN4XvoAxAUws2I/wTojH1eXvKchEusSNG9UYIFba7UNKl2ZLK
ZDkM+t0Ci18xuoekQ1h2PsrauRnZsO/s2ucVSQYevWPd9uqZyJX6FM4ZFH9qO/W55elHiNsRsbE2
DV/L1eCU+rYiucfa+CYQrsIS7qmafGPXegS8HvyqPdIeCK5CUqjuXCO29Qrfi96Hic+D681D+FK6
stn2yKYPZhSEry6eNog3bh0juZtaeR7YNYpJLUvNOR8txrFnjn/B9Kfv6UHOdBNY2r/hmQHBaEsL
fwxJpdfTaFViw6GUjuZs5iDVY9XZtNnGucPpZFevVS2iF/bkIKdl2F00hM1c+b3yvgkGEwjnUt++
NfCVPBmc3y8Zuh+1SW5tltkOdkFPUdIyaOoYkeNMh84XHRUEsozVdk3EsjVtADSRY+vBp6lXMbCk
x66fFKqNJv1ixCL2T2QJWGSGYLS54SDqPLKPYO4d50XzMFkGECZd+gyWzTA4UtSNb0kUeZLFiLgz
L8n761FXKPGzKTSuo9hBV4NEoH6JJz+5BNlIwG9Pjw67hJfNR6+rki+yrRJsKvldip/SQoec+8fE
BAhlItxJMAC21dVc2ZW/bgZsxZSVkU+5Z3niokzD4UUhw/1K46n65EpJwCwRJMxCAw+C0lhhbGLC
01/nivVmZRPk8SbF1FxNNdralW24Dc6uqawP2hjKT7i5ckCzs09XzmztYRNHMaQZXDfxE8WDxKte
2IgVJCCDlTHa1eXSASSsCW/GHvEECcgT1hB8AKG3tXUtXoBk+BKekUhGGMWG2nepjG59D5dTZU96
nWN7i7Fn09pleY5dyIp9Ru/A0uc0uaqTiWRl4+Cy30x91xDSxAOn0xIKuFvLbSWYEDux1W4VFnk6
yk0Jeqlp6cQqtDhG36Fz8ot2M+q4PDZaIhLM0hz+UI25ZBUFXWOuO7Inn5PJKnPs2N5EuyKu5q8O
B6gLXwzkZVvOZ4yE3oMO8+y1CJqCFkAK7o4lHhURvPTCWA9ewoqokKgcIy30hTdL/alXdXoow3IK
SG1SM0QLe7I/66EO0f6b9qOH2AL3YAbwcEWDjZYKKK9DwGQRYe3cJe4htkP8dolf9YvU2XztvR43
Va7KT4H02xvltV6+jkcLI+zMAXIbiKHjWRINzo1cm1+8yqqQCmPSMk5QP/znyGvzB8JKnAbNUDie
dU037SEFGjDZapwN4KeSY4yJh74GDd1cM+1F7Rlm/bp3je3gIrrOp9a7ka0nLjstg03gZcR80FSy
rpyUs6FrBnrPqB7Wk6p7+dmjtY2ZsiiDx1xOGolINki6IIZtonhtIrhu2IYwCVnzdrBmOuIxTfhZ
IuOdSzvddUJ056YRbp2uzr5ivyEZO+oc/dWJI2TUfZPDV0S5+xAo7X92ZOEjxaIVsOJuQkLB/dpd
hNaY0Fi1ExCfvqLLFCGelqsgkfGXUnh9vqqXf5RGmLK02MNF4VfhU+qP5DApEe5FpAzqA787r8sR
L7+ZOECVcGOuA8EZMRuCk4u3o9nldUXKSOTRd8mtIHluXG3Wq9CH/oEFGrP0tkTjs0VPM58lhlme
Bkea53zC9NySUfTmz1G7y6K2PWRl1e8Cz86PVRowtUnmp3Iah25tWmb9GtiVvraryvhqguv6k+r7
n1Hnb0adYLgt+1dV8vVXNO0UTa959Po9oekfP/iXwpWpJt0cCNrun+NJyuG/JK7iD2V6JlZilB10
YpZIi39WyvwnLEeMO00ijxXYJHQ2bfjf/2V7f2i0rQ49TJNGG6Smf6VS/hOE+0OlrCXjCG0KDjwm
tqsPA0+k9s2coRE8KOonHAeLFwZ/1WBfIvyjLiWsD2QqFoA62w2tU3nsOXV9lG6Benuu6gFWLYhT
D+9+m6pNCECAZhTomE3tvaHp9q8Gx5nOMlyDgNS60USg4yp4IUbTELtDzTfD5yk5GTemsdUYb1ry
+3zM5GQHgaw1reKxJmjrNMVVeElwhNhqTEUPvmUQfyYJRt3WHs6YbVhk1R2xnGN+ADXN5ArShX6d
Ie/kaySzCCQKx3bAjJZesuHY5m+6MD9Eeo6+GqYZvA2zEV2M/Myzmgps99Au5Dn9cDQWpqYrhbYE
oy6niYBcJmNQ18SMpGc9csYrnJXtRT80xt704xl1ui85Pbf9uAWTm+zwYWJUUHwp65GXlnO8s0hS
M0oWrwSG06fKfnBrvmbT0BTQnRWKU45yfptDqUMaUgVby+Obl5E0UeF62XVr2A7+jzm7YVBSEGft
1lchwYMI7ESSn0juLSnlZ3+dDMCQLM9CD8dh54J9AKP8pB3c4Limaa5T6j+Z5Heed4V8boAd35lN
k2MMrH1IrxYZmjBYOzfZLwPUxzFNrF3c2S6TvoDyo599Hy5XghHBFsk6K/L5QimG27iQ3JjawFcn
2xjEt8Zw8q3MzFvdX2deynx0kBUWAnEtca4W66awbAbITfeCoSt4qNkHr5h84yvInK3RuO1a4ZVa
webM9nY+pidiZvxzr4zzGyVaeYF77CkaJI7+QiSbyemmXY7S5m6ilb51DJUdBuZvgmoOumoc3/pd
Ja46o9Ebf5TDMXCKfRLb7jaT6GpDvLAbfy4AKXm0TDGn+2rXOVnyzRuGNww9xg70C/VC2KbmLQ85
jOZxrI7NvLiIMEVtUSwMgH4tuUHRfFPwtGH5AkQgUK7QFHJw6jfPcxYp5HTa2IXwtVdqcvkrm1Ct
g47zmElc+CmF8fAstQ6OHO+qW5WWDK+k8k6ommFPGCFdehPxUYrJ6tLuqe5zHtuBOdZk7csp9Fdd
jkuEEtVP1rAG1ZaWHgj4oV2mNxHN1b2DpjgwH7DZjdEOQzxTUA5es3S6TYzzI3RvUbTT01ozdXI7
vEsod+8UdirFUKZKQvPRlDwLW6Hi6MyBoXZDaKIfPo1yxgvWmXFq73KP/vkKPfTE9fvo0nMn68nD
oCRwipigHGrfJuCYPANDPeNMy+PjUDC9oujDJ78aydyU+b4mDa2/66NIDndtEnUcKoKAkuUSonIf
vyRJW8852vck19SMqrHWYLw8wAz0S1jZOiCmL7CtqS9pSUTcH6PIeDyHYqL4wiSEDNqMRj4+smgd
bFJSzd1tldltEhxglMiXrsjBQOnEY8t/4Tvyun6Vdi1e7za3MYXmftJSwhDDzrlJFPhpQFZ0LaHs
yPInLPkcHzFoInHkxTLHPzH0/9mpf7NT2zaNgV/t1Pfs1F+b5uvX77fpf/zUXw1t8w+HlIAlF+Jd
XfRXM1v8YZv0j+lJE5cFQ/GfzWw61oSkCTZMS0hUQwsV/68tWv7BwAKJEzu+wo/0r23RUnPs+C6x
AhgjoDoHAoIwbVQgiJx+bGZrujVGOKj8SLXbmOWenhEbypYCHTFKmyH+Xi25SsN5axH9t7AcNmZD
HCARw/pQZTKCcuM32ZZuPXxhCtl7VJPJ1sHIsQkCIDTroba36I/G54xlrGItV/art4QSWks8YedB
MiXWTG4hpn3p8pIQQ5tcXYVqdeMsEYfmEnY4L7GHUy/gS3nw4lazNzY7FVbkFOcu21o8Fc+yrNzX
vG6yI30TMj8jZ9c1Wm9E24t1j0jqylwiGPMpSu+t0CaXEa0tyysvTvEc0tnYW70xn+DGLgpyy3E+
++6S8QiGg8ZXVgfBRVFP7QOQGfd8jGdx2w21tclTfQOdy7sQMVIINwuCT2nYLBqOpD/MGpJuEiEA
9WNR72vt54chYkRWE0tZlIVmGmrlO8cAPTwjRb3KF6xqnmxUMSbXBhpr6korWZmMircpJSGoqkrd
1TTpt0MlxZrFS9L1H5tj18wGdjgwkDIJjVPa5OU2sap5DfJ/JiNAFBfELnOkqVwDIM4wdPdmhL7T
IqTuPIASs5elme2sylb81ma+KZeOq45gAyeddU/ixfg2sdZsmYHifdFJAwiBA8xAZuvO6YpxY5QE
iMolSrRDU0nu9idctM3eLJECd0zW97bl+Y+9S0s/jn3nC+kNyXSBoSO+CNiB6SuXDCjGkUBTN0v7
TYTP6YBkuN5VDDA3k+Dg5oLgpPmGl5gYVO+zW+fDtwCnyQ4hzejiHyA0j/dG3shpaNLzKS4fQvYJ
zNrF9GrghQQPPCtxYRRJf+Ya6HSLTHCTIw89Qxng56F57m7CJdrVF4S82iZxr+lgPoTvCbCGLauD
i1jsZiwqat3c7q+srPbAQjMaWJVox6gascHoQ2cwc97VzRL95nWS7Nm5I4YWbfkufk+mncfa3oVL
XK2FcnexQxBiSxAvBydYWcEKB5iAPmB10FWGGapFXAHnRBrNoN6as2vDUAePbRJ4RF5d1I71SnyH
9s8rwo/Ds9JMnxxoMLeE3O99wzWNYxN10rf2aYsKXdO3HHLvbZYEYm8RusxXMyao66az3OzNy21k
zzJHYQfT/0GVo31dU5Mj1kZvdi/9Jt56dYcVNs2901BoSKieD311U4ZOeVuORoY0I5r64IAGIqkf
rBTwIl5oTpAMkhjAFPqUY2VujE2mYkug5XD43rO+nHc+wA+E4kXgixdomkOLN9wILqtJZ/oJ1QuA
pm1DTsBNPnqd/wWdCmObaPagp3mr0JSG3AqU0zy5ABFdLwNe7tXSTNZjD4VhJWhPftYYqI2Dm/cC
hH+RkpVRuF2XbPquJq9hkSfLiyHIvMdsKkGULAQq2DeTGRzpFAn0a0tOZt5q+QUHVJvsKWh6xCFT
hT2nNyJYWy3eLwjbKuGScxrUJG+Pwrwn/4CxDioz4ibp+kR71j6u+GegguU1xPVlQRSDn2TyU1xp
TjNAMqauCu32jHhlJaBj9sYq0KMOtiLMnauxd8YdwwX+VaQoK2vFd7x2SAy/TwfXOqsRUtSrBOqX
WINCHPaxtJ0L+ljVMYk83nvmaRuVpLKFJmLrfWdaqMs0TJgirJPr3ErP53d0TG2q4nwMFcTXstS7
YmhliFnQ1bxUPdKJTZeDQm9jxzoBXtpzRomXd5VUYjNwoi1md9vYCQ1NltYaJ3iwRCYDSdhFjpHn
lxoR+K3ba+eSWrB/gfJl0YW0vTNa/th+q9rcJIvypX0Xwczvgphs0cZUiGTYoxblpXQA3aGgid7F
NNaiqwlm09+NInYf1KK6kYv+RixKnHTR5BSLOic1JnHqc+G/0UJSTCIAaGknOLJ0+gcSfMVzos1o
02Se+9KbFQKgdtECxYsqSCOpvJCKfFoUS7RRsdVjMbBxmCyKIom0CME5pJ93uVELd6WEe4UKiU7t
fO1AYoQy6O0bGA0PMykPx8npEVvU+bxX8LhQ6phUDXNjANhdNE/omJE/1YsSiuDykhraVhsmZDSy
uf7duGinrEVFFVjoqWgJDhRSaKzkorZy+AC7skmQYJmIHFka0WXZ7xItmt/la8904cLUs/kVUxeD
10XVlTCoPDiL0otJbkmxiPqrXHRgcYT7AQFzepksKjHGbtUF+qT6WtGaOKcflaP/y+Nz7CHkU9ph
f5kUisxnK3UOKUI0mrHROWki4ROja3Hp+ybJKXHjcBJYRGzdomcrFmVbM4aI3KJF76YW5RtNj/rV
RQyHOyDZMAZob+p3qZxcVHMZXpCbZFHSmYumbmgCOq2AkBCAgYoORfDkLxo8M8calGKkIeZoQqH3
LtYTyPbGRb8HmKEEvh6JM/td3sfuXy3BJuWG+RXyP+j+D4bVQTkgGACNmiTf3lsUg827eLBSApom
lQi03MACOE+KBg1lkTgm7Gbee3e26X93dd9uAL6rV2vEYAAflEwdzXSA3a1OPPBSPYY+zXAmdgO2
vCBjSHLfQGCIbv6jV/k/6VXY8GmN/e96lR2jv+jLD024RcTPz/x1uhd/8K+YxoX7p2P8uyac/sPh
8Kg8j1apWCKj/qcJZ5t/CMGx2yNolxIDuvr/nPAt+Qf2coejuHAoDuje/StNuOX8/n0LznNsJW2i
GxUNPagH/OHfx0UGwyjgKAAjsqwOsROyVeT5pDh55xIQE5kvqs7PEwfi7caDArb57ru6/vM6/w9Y
03XB9LL57//iA35/dUXjbyls+H5cTc/zY2pbVQWz1wNN3A+d1W/1RL/FjKwUXXSUHf6NS1ETEaYs
0f84HwqZ2sZlakKV2kuTILHUgjwH26/cojOq/o1PxVfp2Uuj1GGv/PE7nU0sTJOU6BBHVjYkCdWm
bttk3Y66+03u3YKw/+72vX+BRPwKKWweCvWxPANP3iUgYNu9F/lMmifrhlaZ840dfxPkfrxGnLLk
4C0NGIFT8ddf6dKe/fniCySBpxirzYfP2SJI9+2ybfdGIR1cFGO4zU1gVL++ys/PiLJ4LtFn4dqB
RPbhKk3g2k1f+d2+xtZT82zmYAbVWOl+i30LVN2vL7eos378UMoyebfYgS0ekyXV4PsXQlU9ohmT
ajKYHPQCSf1V29Y3soWylZlmZzg1f5d8/vPXqCyLNijFtkk1/zEuzg8RthK80S2KbYWnl5R1RkHF
9tefa/maPn4uS1LNuySnwmdYvubvcmGRPJrEMiXd3o76iYGrcR4YjF9Ny1qPIlOrX1/t777F76/2
4aY5UgRVoNJu7/aDifQM2nhPR66M3+GJHpymJPn860taLKQ/fUJXu46yUfLxQH5YyqaQWdiAmmRv
ho68wnYCylUsoGCM5gc8H8mmq2gBT1SBhBR8gWnlnkplH+CtF/u+8/ptN1roaQddvo2jTdyDg3rD
8tvqbsZQTrefTLKkmn+zML0H5H64MzZ6RGES96rB33944twmcNAm8xpFA1XgSoIcwgwwqn5rGLbA
/G1W69Ithg1VGecrxN2fICuN153plpdE69nQhwLvyiQq4TfvgvqbR9OmhUNtZTNaomX840MTe6mT
zCpt92Mbbjkvqg2TzgUl77TbpgqahzGyia1AmId0BSHzaczBqRHK2DPmGIEd9yJfJbJhso63eGWb
pb/xczhOzCSns6Cz6kvLmY3jnODaQLmNm0qrcl21S0jeEGGW7l1/7dlYb2tIOztc/HRl7NolgW08
tUSmrQYj7dZoKBEZpOoslMlDN7jNJaI6YvPsOdnVdgdHyGivgHbOh4qhy2qSZOqNfkpIUTiJJwO+
xZ64DIPAxelbMtm3rQsm08NQc2idsL3iN+e7Xz+tP78gdCI4GPDWk4eiP6azj02gOjUsN70JL4k4
CteRK460gO+72S+3XZeZ//IryRXVQrTBYbisNz/eS68ee9ebk3Zf+/7RbOQ2ZfDk5fKc2oCGk+c8
//oT/rxuu+DSOcZ7SxItncofr9eQTkBYZ9fu4ylFfNIvkw4AelvXqqfNry/182NKr5NJpqDvKWzI
PD9eKkBlEw99wS7o9uoMbZN5LAYgjP/GVaTjckyxGYt+vGUZNL4MWAPbHZOGelVpzzggd3Kvf30Z
8+d1jE+DZ9NdeqL6p0jXJKJH55QeBN3RxDNtNmCVx4xuZ0M8AZ0VzZGCB19oG1Sh+1RD7i9Agf1u
WfrQ+eVogbPVhmXEVAZH17vM+bsNo6oKOUe9bij/U00z0Ut3/hC3Ozm0aFVtOcsjkn8PSGPx9d35
DUQeuJ0iZiCbZ/sEF8z/zR1YhuAflnj+Jk03nB63x5n1w7YSSMMw/NBu9nnQ5UdRg7kUdG9m3IKX
PvazdUh020tKuNw6rYzpiszEaU2v2dp4LohqnadfU0ZWl4kLp2gePuHBAfweteXdlMOwLdsIFlAQ
Dqd8Si+x9P3ucPH3H4C5O1NvDKXCXu79d1+qb9ZeNrkDXyp6GvS+5a4bZPAQsoqtkYfHG7+BcJtp
p2XHqrPTFM6vbqTvm9rxjh0hA4veqN+SqubdFLQD7l05f52Vn59sN/R2QxlMmwHAAntFm+5AFpS/
2RLM5bX9cbfiFnz3CT4sI0NLoy4opmY/MZ49Eeqan4gkypkHik0b1SzyjJuQtIkjwS/9uikxTf76
BbH/9inwECgg9bdQN3x43d2JtWRSXbNnBrmQV1NXfeZYda1lg1TTE1+KtB+ftGWGb029bmktk29m
LeGn6G77oNlZQJI3NaGMoFvMAWmW1ZFowgX3o0JZKOPA/DrlpslSqe8QIm2ViIuNY3hkqBG1avZK
nBvKTBfsyqvuxZ0zcaFAmt26HDxmGr/+wD8f3VyHalBiXcC+TrX040ND60jTSGdBqOL0Kff3GqXt
xpjxgRYzCYm/vtjfLNsOMy0qT6n5xYtb4/snFBy4k9csOvsyyL9BTUecZ9IzRBr5u+jq5Td9eJK4
EkYNT0oHLdqHlxmAaQfuU/Ek1cF9gk3gKU5nWhvZRDWhpgRDsHAM2uyOGf7mEfqb3dcREiGLjeiT
YfGHDwlanNisWCzpeNOL37qLWPKWOfU3Yio/U/I6v9mg3s+eP31WRRaaSU46bLkPt9DrjWaMIh5Z
yvD8trM59xAmtplysD92P38VfnZfRCkOkKnkcCPdaN03AdxlTiu/vr9/+zDBFmBnsbUkMP3H+xt1
iHfDnvd3cNEjikU4KxmZr4yoIJUzjL/9+nJ/szVDXLC5zcgOBEX+j5ejf5kECF64yeAk90GJp2Hu
3PA3NeLffr8mnQyepP/P3pksx21s3fpd7hw3Ej0wuJNC9WSxF0VqkkFKIvo+gQTw9PeDfE6EJfuX
w/N/4jj2kQpVaBK5917rW5zeVZj0012b9WYMrJ5cU2rkLgrGCZh+lYURMwPjpHubp3MEHkwWTYFD
DNgZ3YBiN43G1bIgL/j9b/5rUR54jGwtinLHD9xfn1eN7gNPGwh8e1Ril8RwyvpuuUDHiaO4NI2o
6Uswy75iZJAjvv790c2/e4LZDXGy2bcHdJZ/PhcqHqVlV0wTYRsk743fGYRcd7G67VNzDVDxas9D
Ns4HQPwJ0UaMXot6SmSYLDdl6yc5pvJZE/FhIwWxlBrMP+Btv/+ef/M1A4gbaNMEw2/k0T9/zcTA
P4HTpj0QgNvtB2cZd07fhrvVD/UPp+RvDhWyfsIaRmuGz+uXxx12c9+0nd8eFKkSHw563/ulStAh
G57ov/3rn8UelNQ0b22p/WVVawhaBnyOvgj4RXcP08Tb17Mvr7JOvf3+SH+ziHEk2iJsEX2aWr/c
8yhUYyjiHCm1SSCTqmoey7i1drzdlo2YSBB06mT+h+Xjb08l9bUDL8VE7PPLVYtjUakwcdvDjFE7
Kt1JQwYpwfcI1Oq//33IELkFflk12WkgO8BEhwvz1x13kDv1wHSGW8TpRLv3MHkzPE0cDdaplFUR
eR2B1B578iJq7VEbeyrHYdqha7LLe6R+PFwYDJbwJFFTPltQNZItRJ5g2DYFiiCmNG3yhhnauOR2
QDhhnKxjt554XGSz/CQ7WrVk+PpHV+PEsIU9X7nGSjObO3/ZESyItC9Gh/TkDdZiAtXGFLXPzBKv
GWyOxHoJNTHmKIRplsSbhgomuZqSjpC+Ls27hCzI2pxPRUV37ZCkZunsDNGYZ4JYJuPQg87vb9yy
GgII6MMs7xGDF9Wefzf0vgQNmEMrc1D7bysyteMLM4/V2ezadUaKNdy60SBi+dxVRn00O9IuoOV3
VgezPH0uAX+v+RJOnZ2wEccNSdF1ne9nMOqEuzdz1V2TLOBDhfdCfCSHvkdbvp1GEoG29UiQ3hUy
SinoO5QNHh/CbNhcpYSBvvngKGZ0CWqKlsCpu0eS2rB11KrP5jsNAuyxSh3yPmaD7O4HUZdBvBsY
BQ8nNrHTvg2mMN07WLebDequhXjyPgvRAPKK2hWQ0xT2ZYsJast8+BPgQjBzRYkLr3dAYoCTaABa
BsM9fd79MLrNZ9lYxQs+FPGgKk+DycqmozGTIWG34e1QrGq9HkKmXz1I8r9GJ4l3+QLCDcAyQi0Y
cPt4GM/2OJN5Al0hywkHxFeJiDOb7D100m8OOkNAXzMYQYe4dA8sxQ7Th3dA+Q1wj7B14jjD+Apg
1vTuq1ZjAJ1JYvPHt6X13OPIkGoz4p920+JZCA/VoNfeuWHZ7UxRpSRkEbKAWd+8QviQXGzN9aBa
SDdYMJ4n7DfMUs37NEW1ButEnmToMM3O8oFNRe9HBW+Jbd/7y31eTKdWwWwDDOnyj3xFiEaTdrpz
PkHhWkROLobCgJUlEiKhDy5E2xAhubJ3aDwfSiOZdqYOEoJJOxARK66bMay1BtiIBxkXzZcq6MV1
lfjgTRRqw0mo7sMzYGMZamy2AQ1r4Hi1CxM5ZJpVyekEqdI69bMPGnQazxZZ64j2zX3uzi+lGNqX
KpVHgiof02F+cYG57rQIadQN8qX01oC6GEzfaRx8XPFGK7eLazzlYYCNVdrpFlhYsBMZSv9Cr/GG
Gaq8hLrhIe2M8a6NO2DrAxwNbffXapY+9ISV9GEg62ph5Aa2SgkgLctjVQbjh9ODZZ9T5Bb5NodH
ByFsqFucpJTmluhiuauxNjzldUAWqcXN87m0hD1t/ZY6gpcpi0QWD/q14dzftJq7jDkviT25eRJD
PO8MMhb2nrkEV/yPejfxQOwkNtu5vw5mHev+dU6wiWK0w8Op8+3SW90r5NK9ILAJhrnFdz74hlV/
nYinb452jj5ki2MK8N5cmz7MNExk8Hf8gJwMMJGucaY9K/Aj1G167DrOFGKDqtgu5Mc8/eD2WkVm
PSGcydOTzhBeuGHa3pga9iIhcXrB3UMzLsF1+u4JyX4yDGFx+Isorhpesl/BzscejroYgpsm9et6
mnrv0Rlz+RHS3B9glnhIVho5iu0yB9Mn5kzlR9d04Gvmsje/VJPfbSnR3NuwsppXdA+a/Kp+Pih2
LE8BuJXXsedzZqOYdhDO2/MCljNKp4q4UcfuP9OFYwyS9djjIENyJyR22L6QQ9N+bXGH7vPJaF+w
QKbHrJOK3BMIkHvcnf1nt26xfvoQt7bIiaHcDkvPw4Gz2Y1y4QBW8nBfI0SwT0NL0oVPC3lHVRp2
+5y6qcQ9UfPnVRqPz63U8YJACYYncHMtU3IyHbJmS0aDwIeSYr0HDX0GzpQ8Yk9Exu13g4UuVjXG
M3IMfqLf5OTpxoRlHjMvH59Haxr0JZYyviU7PtjWolkuSBaCaydx+FQbAYmD0u1xVESQbNiJtGev
SZLbTPeAhhlM7micubdxx6O6q+py2S+kFO11TdbTgdjn+Jbc3dGPGhfkEQ9Ry0PF1aUJ357zMnRu
/SRp3rsx7u6dpTOf+pTznWY55KK5mg9BwknFOzoTQ2BhSibm691dK8yo8hactXkLuI8zmx5B2fCx
xjDdmZ3TnhszC6+XsW/eFa6wlxFE4G7x/fZrbcZkQC1IjTDrVqU8x3QjDkOo+m+h7t1bZ2kNDZMp
jG+n1EVbo72ynL+hxXfIemosbaOPB40i52uT1zLBJ2EGeSkJWkybVZJB3yRHlziMGjFOY87ubUrm
+qfGS+Ibzx3qLx7hYVu14jsIpV+kCfuQTST+QWsXq6DF3yrkNiY8+WqlWBxhGUyfMDeyLhJ+SoIA
f7sRRnw7hC14/SRw2YFXcAtuQeEUpy6X0LhVSBNnm+ZanpE28AfkGK6oIF2obbY0mDQXnnPaWFX/
GSbR/BH4Y//Njx03knIuTiYxGNzlQ9JgDc0s9zEtk/HZqdXgR7rmSxYIrR4C1TVvdpZ4jwaIZkzt
lU5uZ6+sTIgeVfdStMt0F3j98CyaKX9I18sNgjS4duFWP7TOyIFyY97TsUMnxyYjuXV6zho5KvMd
EbDzh1igwRqT41YESQTywSoz59QiSrr2bM0n1ksOg1lMn0LBRIYUJsc4Lx0t8Z1RkhjhA00lBHhI
kLvTb0GkBPOFeBXPqH0o++RMIuQxPPngJJRcm2ZAfnoqx5HQ7mTgTlrIuGLp9RzuNNas5LbIs9ok
cG2p7wwbwSUT02LNYeqDZDx5dh1UEUy3jxoFJBp1UWYoM3T7AXXPfHbiRm8xWpjfyQgfBqivU3vP
arF81FbWdBGAdSC/XeYO361gIEtZjnBEjabhtJB52vUHEgTxYHlseZ8WqzAeQiVYzXxv/D41QXuv
JPKZobWaGwWi4HVCL3NvqiC+lV4LNTeEL5X2gY1POwm73RzwfFdGrD63EFzFPYxPonUoKFfA2Izp
lR21f6EmlvtmkB2LGGgX+qZAQxkI28GXBWPDjcRKcRiLYjw6Xsml4bV5bXdOjuHYj9M7z4En3lRO
/6lrRknEQfKh4pr/1OPp3sqxsd/dMHb3TlMsUeNA3bNs4jtBd3uAGxoML0wktmjjeQ4ViToPZtnB
gSe5c1M5mXy2itiBdlU/qtC5IC1OmUWKlFqGBEA9hNlNS/9HDMkI1rjpVmWSdyt0ad4kpHAdPHth
vC5S4zJ5RnNbkab6CJOhXjnxhP2ptFxgHDFsbE1XnNxUncd5BtHAs3kRse6uIe1VZ1J/CXqwbLaA
IeM/WqhvIcrhU+5X00MOie3bWDjnNhUmS1rAP2yizyugZNGknKtpypzP7LfFZgZR8B7qdc5Uq31C
Z/nUEozJtCxhQzritf4cAEp4EFWi9/7UHD3UmNtQw9nZpG19DPTyRv+vfM1LJGO8czhJluHELPRU
OJEPJR1ERp73p9xApTpKgKZ56TT7fhgYfJkD0TOz1ndOkIuDnWX949CSjW3rMH4Yeg4yuNK/GwS0
UxrTIOp86byBTvSePdxTxzT1n/E6EGg+xngwBVs5LO1zvalTnVzSgMYNpOmTtBfzPRFS77FhigO4
rmUbpIO91SMPY98kaqMJt93FM8ATNhfO58xxD5U71XseJxbgOqM6jfFy4bYMww/ita3PU+OYN2EZ
LqgWSuepgREWAYVw9ig/3asS3egzImT/fkb6vcfhM7V7n30hYT8dRBJQgN8XRk0YUmOV3rQZtwHy
vTjFGVwBl2zwomzAVkNRbhDfMkAg15MclAEnUmSRJPKWges7x7o6Kgh6xHA6xnU9w2hchPVZpUa5
51Hck7KQsVFziXgmkOwG7rX8RFw12wzMzjlLYLZpApU+BKJbtnlpB1f9vEaYi2SXuNB5c7tzb8vG
BSSQ6BArWlUQoDfX48UD4V6xRwNh6TleBcxqym4LLLfkFWULocgdJmmQcgaKug0ztPESSpW9lJbj
HZDSVbxySOTbtEtDS2NIjekuxMN+PdPMpqrzCdHcQP0A0QlJ8cH1nXOHSu4oR4WVts8vBVf5qq+0
z6pfFwxHCVOqdK+u6fvOwEeyozkZ4UvIzJQ6562rKxKWwJFEbeONUeZXCVSyUZkv0+x0p9ry383F
+y5JzfnCjrX4UvRlzaIF1MovXGMPgjveKX8o72ePHUsxdwSpEju1kJ8kk4bt0AQYGlHl2bBr7WxH
X/Qk7eYmCltYN/WtoWMEsdVMMgHtG2w8FmGlCN+LgkWIcOTsS1lizbLaoLzH9YP6P0XCfMgSrb4V
vUUcLrT7b60USxNZBh/YogI4uyRVPs6OFeiXjh0P1y2lyCkTrMSbEVzpqWgC3ijh1LzytqR3thQm
lJOYhuQJiZ71xP6YyjQH+XCO86n/Rlq0+gb+hSZCPw/lR07kAhEEi5JfRJ+Z73nS8aavnXki92mS
XxAYUoQ7MsXP2Cyy/2a4BO6RYjcSVbHkLr58MgG5SMm05kDEaqz3TqjpaAwTIVWbxBrY4NRVUT8m
3kDeXxjX8otruvydsJkI8fOzMCebohLcRpVNEiTuJL7lLgOAG2wrVFo+RQzS7E2WOlV/lS6uom4U
1WgSRQiNOd6zeeWTFwO5/MnRtB+3EC5mg5DvdQtAkBw/iWIqvM4SQWSFh5duiArpcZUMQvNAG04D
oYDdCN0/HlJciBJp/4c1DBx1aG2SabVjh1/+OJkuMUzEgTGeTFG4CpRpvglGfkM9UR9AMMWR3XpQ
yukFceqJf6keXfRj1aFIM9o9KAtgQ1T5lB8bky7QrdW6ADWUu7hXc6fqR1ejqOASMm+NtGz5fbnv
0g/pSAHMrnpUDOOhhNOfEOGkxo/Roze6GSy3SS6eYSZP+TxakGGr6nNphv597ofAERoyLp900vTz
caINL2+dgR99tEbBd2RXzrdOK8nFAz9RGcz/COOOuCY8u/T+k3lLX4azOBqKP79UVv8tpXpJN3zZ
EDTu2H9PSfMmfHnoWgYY4Yo8EEBkpqjA4cd+l8u5HCv6f2edEmKBsFuxo3MxEmQn4XU0UTpmKwBg
29TteNQdCm5ewry/onIQpCBXwYCsylqmpbhNRltE7bqFLGCVKtTcVvLJzIRFHkMtzsykuyOEDPu+
BBdwjZYpfV6WRH/SoHz+aKv/r8fsHzxmmLQDOqP/swb1uh7SPn2r6B9//yFqPX37f//nP3/rvyrU
4P8Gpof6yyEuHAmIx1Dgvz4zh+AiP0AUwtSCQc06W/kv+xrAtUWWA25wNocM6mhB/8dnZvGBITpK
SGwAPgTT+H+jQl3lrH/u9JpMxB1rlaH6Ln1691ehEe1UPWD+7k5uJWkcZZlhPgiSsS8BvoF93WYB
mj+QsO+94csnnw0w2bOVJFshpc3TWWPkF755XePIOZDQQewp851yEwS58RQQEbD12YSloFRVGJlJ
Nt2alTF8zzrLxK8QF8+O1RInVzJ2i5NSXijMSTKqLJ944ZbhEcblTh8UqafHui29R3wM082fLtnd
H13tP0th18b5n3rdnAFmV5bjchpWut2vg7JsZq5fj01zmjqTLCJJEkA8D2HE/GX9XXzv3x/vl0b+
j+OFNKwdJhWIdH6d8+IBFaQH581JGx1iqLh4j6m/IsjB6T8c6Zc5xXokhmG0lpgA0lD4ixx2oJ3V
8x49scT2Wwv+G0mwrnEIbJk+jlbhrHkj8uFf/zycDj9EdWiMkQr8PF1igep1WUF2JrRmJtieDdCm
R2jt8rZ06U7/+6MRJsa0DQiAh1T156PFYaDTqsyoh4V280vV0UeZvM7UtJfDp98f61cFxno+Q5+n
FdsMSk5soz8fbMrjIilzkZ7aZCrsyE7YH2/bFgBzQLgQDeBkuh3wXl1rjBxH2H70a9Ie2//vv8df
byB0xwGDJ8F0xmdR+flrQDhErz3Y2akd2PRsp37u6bVK+RR6q7f69wf76z3kCqj4SK+QRjl0Un8+
WIf6yFadl4EDWpb7Ouh6ssl4goHa5Mlp7lM8L35FwMk/HPfvfqTvmTTCPC/00Qz8fNw8ztj1eLw4
K92OoBW5mtoeNOVrOmT/7lj4cvh8pDWCRRW7wK/zPIdkMnNMAGenuP22ZIsSvN2IDp0kdPBPvz+f
v6y3P47lmhankvGrwxDy59+VlcozOoN7aJkXMMEEEpXnIrVHc/v74/wyCv/jOLa3Dnp/3K7Wz8cZ
vALlUj2lJynQ6G0nnfGjnJm8UTna7mOSpqiCJ/ZiKdw/EmJ3RBIll99/h1/unfU7mOjFVvkM8tq/
KB7G2cRgS17LSSKpwJo0tjhEFyO+SHsugcoH7HE9e/6H9fzHKfzTgr4edg2N8DzMZ7xDf5UkjLEH
Pk766SkBkfe5y7zyzM5uvgEbkRw6uyG0VBn1hC9rnmI/kpoR2Ikg+ekbJLG2g18SludcVvIYC6M8
S2BbyK0y4/73Z+fvvqcreLczZMVvgk7q50uUuzYJv75hHAVygneSTpwuGtsi5BIVnvaOcLwafzNn
hg8Uk8inixitmRZqhYx0yGvnCvaTPE1pYN+Ehtf7e29M6gxUU+iPh99/17/etQED71WRjPJrzW38
+avSulA1bDLyKkJBry1ny0m2bN+r3e+P88tTz6ULUAetixsWgL9qoFKDeYHE14WKtF7uw3StIwin
d68K0pEef3+sX5fzHwfzfYRstA7A1ga//Kg56N2eBDuW87pjnhDIcUtwM1UTj8oeF2EcNZOer8xh
8l+NsgLsXeNi+acv8UMV8vPtiqpV4A0gF87m6/zyVim6xrB4Mhi04VqfT35hsZiqECTFCZ3Wcg/0
Rby7CS06dEw/apWEvnnKFBtYayncK0I75Dkkf+9OjSH8ZxJY6Yq2hQILaJGFc8H1Tjsb5dXDUtjy
Y5yG4jmYi+WyFB29rrDtvEcfi+TZYnJ/NXaCBbcvtfXgDrn36CWNOCrARNcJ9K5hK5rUeDJIsLwn
AZ6eZoGU6rbshHor5CzeiSSUl95oZuJncex90F1xm3NVtvQEq7GRx6U3nR48Dk3yDYS4dY9A9CHK
9NZy3hLAfF/xNdmfiElY45Llj+7WJJ2PYlSO3pZqspNdT6f7Ets82Y7L0gJMJH0fEhbvGnn3R1yD
Poyqkm0jrg4RxJFOw3jYQxx1DtoRbIYqn0ZB4A/Wrspa/zVoNdPI2sy433j6YyZTdcjh4WcawFF7
1k7RD/7r4kiXxOUwvvjr3+3dmq8xu5hG21T3euOnhfEU1vZ84T1TPLftrG9/nF7pabWzqkTcN3ab
5GckpAVMety39tli5HTJgagNu3ZJMiZ4P1arwZyv8NOyQgW0gb6Qw8YdWYsJmWpRmMuRnE/O3ewG
KZFKQiRPzpQ6n4eOnHVgc6K6Wxl6yEMdPkcTVHmB1EekLzTz944pbrWRXTfHh3AJC4az+FYes9i2
P+G8JiOeUK7yXCL6fy/i0tqbXe28Yaolc4+HhsaMpMV772rCGSLMANOdGNvpNp2dMdn6jpl+KTzF
0rSYK45VgPW01/uwXAnHwZBp0pwSOnbbZTLZwJhlveyrseBe8ku1XGLNbGAjKb3mjerH5b50DbEa
pNnnDAnZHFHGD+g3GNlhHfXcYDuBoewt0bE4gtDk7iWeZyL8Kpnq45BQMRBwbTx5CWGAGxE78yU2
iuycB8UuXIhvmDqHFByjaPcAQE1wx0u9a3tJUqBRd/cxzPWTgGdwxRTYiUCSM9q2eoJx7Go5D63w
jhgM5VOsfHQpQ/7WelV+mTkaIyHXvy0X/5CTLhq1TNzhyGX2a0A/eoM+9yDqWZFXRReXFI4lsqj5
IpMh3T6c8KIDKyxIL6Q39hym421KMPs5M8N9krT2Xg9JfYYihvDAGBraXzrcEPyWnYscIV6S55j5
MKkB7nIYa7nOK8Nr+4JR9babYJmOKB9oWwdMATAq74ke+ORJ0knmvrGuChojgk5W1KhKH3Amiihf
0IImhM1swwZRBVSGhz6Z32H+vTUQlXaZUaKq9Jxq7ZtZJ0MEL3SIGLCPdlNE8xTwVhsa60tpO2cs
tgzvrPQm8VYgj+M9jaO8qis/flENDMCE1tyZqSwLsLPukUprvvFS216T8ZjMpEV/NkZmvigIr3O/
nQPkKiW03ZAOSmvF/feWQPnjbAL0gs4zSmb2sZ2dzdqpsUQRfnQ9EPSEBrBwsPng3Vs+uYtj7ydd
yGGnRiu8UqbZ3rJRcpKt9lgvcl8UjGLm+NNgCf041yivQeU2TP6bcZkvuY8hG8qiv3dyFXwjC7I7
wU+aTkkbYijBWmZfulg8QIjSD76eZ/J9hmG3vn/czVQ3IzaUpi3veuUvkc+TVpygJbAVsBDzR93M
XgTpPO/CyusjBIQpS1FFlqojeSP4cegfm4zSZ+D+25Zs8/Z0Sp3DwFyvibrGKm97oZ6JfWi3pk4x
v7cLMIu4ANe1VR4MxLXhX14ZzHn2VZa7dwLl6N7zh/izymJ9ZROPpFKpz5keBKi2QIdfyFLq5cal
T4ZklnXyVIVdcrZb9u0bCyfQcRlLbsyMvQMlQmGQqtH5u3LuXqo6cBlKqPF1cKrgQzkTkBWvMq0n
q3T9z5NewuUgkC5hxNY0KuuB/Vg1tcdmWcIbJAMehOyeEKa6btC2tP6RCjo8hpNJn6wxh+57YwFx
anQ2n1tlX/zSEXTuOyDPTmheI64DDhdX8BT8IrwvZMtgQtrSpvjPEoc2BeN0IzXoPqgiPHNRw8fJ
BT7LS7igbWeMztdpEf29rwy6Bm3Vb4O6tbaBxy0AIYMEE3qrB+2Dq/YCNe404NRP+dzXd7EiJLmU
ZnaSWWtdOIPp1oas2Y7SPIyuy40dVheP9kEky9C6IwAEXwQKluswjgnJahb3UbqtycxC14eCRvq+
YJz4NqwUUBaaNhp7ndpRQNJousmlu4bQg4lgrGCSctFLCJxism8GQW6yAOO2QwJRe5umZxCym2Fj
kaSejcWhAKf1il6AJk7dxleT4QbA0SDcnQCCzd8V5fi1svVwz7h7CjZ2E459ZOQV73Ra44gM6tG9
oWJvDgzVfAoAsz4X5qx4ulRz0VlZ3DWeq26DfpqOdstgNUrD4FhOS3fSQWUQ7iJR4tCev2QDYDon
Hsv3vGp9b5cTovnZiV1kiV4GnM0tofg3flOfoJTTS8qK7tlHY1Hy0bsOM00RhS5j36gnLfNNNA5s
MfaYxiluBvay4J7AACQV/flsGa6QJ5AOVmc7rni6y0vrqzYIFEqxgOQbbDv9rorj+eKT5/oOSGE8
LxOmjyDkHQgIhJAbd5ZbJoHqzhRj/551OWv2H0EWMoRgwujH+RFyof6IvMC/FTgbWvZT8pGgko5U
2he06B1VUSYp4wM0UHWZ3Ma6SbU7fAJPPr47XRq8xkMIzLaqQgMQLV5ywGjuXBY+adNVWR0Nz5nP
lgVcYld64+dZmemNyMt2awQEL22ylj50ylw8YhcV35Dd7BMg2tLVsFq5glcmm2+lpqNTZeLi6LTY
FrnmnVGDmwLuNAxomVmckgH/cTsdTUkildmVzbBVjlWznM1L/EjWqDVHSDOHkxuCeohMukPcl0XI
6gMW6Yn8JbEPaZTvGl4KB1s06tws6fC1oTaiwkgKkldKzkIXpF+ktd7KdJTEJfEbiyQcq5uOnrDl
84xJ+82wGuPD8gZ9LYM5fnIrSIdmzcdOzhR+MquUsPbB7b7IxknZTooVX5l+YmMs0T57As9x++DZ
zwRDoX9aWF4xKnJTlc/E2YiNCAxMrBOxWX61EI0S7J2FMS+cjRkguyCnl83J1keWw+wbiVdAjc20
B/M3U/F31GAJQjzqZOIJVM2rMj4y8bEgDOrvWEnDA7W8E7WdFe5zMyDwtvTOVl+6kZmirSzdYR9A
dI6w4xlbyFO8oLOJvGGXufFivi0NH5zUQ3CwZrhDCG+Kg6PS6bH1rAR4TBBfsmr8MBoG2O1Cnpg3
jtaZtBqBnZSQw7Sbi2MoaA9Y0+pSbjpSQBMliA0yww01Pm8dNkJnZ6idXY+kAxWs6q+FmsCImNMh
98Ak2Wy4Iopqb6v0BAFUmEDOJ+/odm0SiXIMKE3I5sKFwAuilneT2QvCYbJmH6j+uyKodNcY9XIw
vbRGDx9+6WZGwB08vyvV0DtYYnFCPkUUh/GWes6+lgl8PXIKq7I/l0b7qsvldsjlWdXep6aTF5Zc
GkZFqkAULh9Amp5xTD6Qa3po2E0TkVC8hSLVIPJpUvoqfEeu0EdLB8c0NEz3U12kZCjU1vsUmmys
jJhFPrFOhdepLXRNmJgNomJfb4bY+1qOIW7Lkq72xgVGtYv1MHxe7OXrRM6jl6Ena/0i1dEczvFn
0fTxwng5yM8OCo/NPM8bsh7sg7nsxjZ9mSA+HUHDXrvtJxGMw1MboNBP+hRXVJwcfRTBEebZ4cWw
8OROelTHkRrmehg6MMVTtj7mkHNISvVfPDRFh7RsmRn2ie5OaevRHtXZWk74YTIdag2EFYhw7mwY
yC3XCvlAt0/K6QEkbfgNGgYQcaMpaOhs8rAPBDw25FxXKigRCG/aZJzuCqtbP89q8+xtpumsaVyY
Up1iIoTDva/zptvQ1XQyNMSEtOzh1DBlz9kPHX178I0bNSgg0j2KH2j7IU1TtLyUnHmYRmjx5GsQ
I1vspccDyFEZMbgyoBDBScUg1lrBtFg8SurTmuWFPtM605jrQb4OMQWCNFpqjBpRQ0YeNlKFkRK4
lfOFeDKq5NQnunpuPXGTGW467lQ4U3YMPsuS7jM7qsy1OsEkPH7PFkvfZt4Ms9nMlz2iOBIb0Yu9
xqVBkzsGuPtg9q5CqddRicTLKN7rWnvuRSXjWvKGqp6jxG16EmRGtg4FXohDY9rdib09Hw0zlVS8
mgJ9687g8rBwUF9pT33xCvT+abf6R5ykuXORAeckap7g6GfRwiv/ZOU9L9Lelmc7cWkK9BT5weDT
I1gnNT+ONzaOsZtrrztJz2Zmk4PahtxRvvz4I2FQWg/Co+yvGVoffNddjkCzm7e+JAUnmjqLLkFg
61u9sO0xKDaZ9SyV9xjmnEw86u5GJKrd/2gUN8XEGGWqYfFgGN8WZdrgqk9R8ZOjCWg/0fnZW1QF
/cjtP9ep4gcwPy43rCPLfU/j5Q5ZtvnCcJSrXuWC76yn7gRGCy3TtEomjUQcl3xYLlODRwERE7+L
Ia58alzKvnYkOixygQgf2KpR2w9DgaIVAazO0WDTFaF5yWIwoHCQgtiQ2hldBEiSiTf3v1iMa6BK
DTxhI2XUm9FRDJarsMP8AJMiVLRkWkloRwU6bK/IaHCui5YscdfUuKGzhQnZ4tK8kkt+/nHfGWm1
7EfUnGz/iSoh0Ga5T1SP3nacjPX7JY38MCq6a0RyOss9Lm7OSTEwZTP5V67VdFP7I6eNJmXkmGhO
rcqsDvXaiusJRLz4hHUQtaxRpJKCSpwdd4ByBJ8djusHFpn3GFuhQSLPGGDGqOnn+wRiTpUv0Hzz
V/IKMYlfrf9vrThbpgehLwJVMF9GPmg3L13oblttCNiMrpOhMgOThdrdfEgMttemT58VWjkFv2lY
8mPBzXI1ZtxN9sKHkvBSv9FKrCCaA9sjd3AyrwHQyvOI2vBNJmIC85Xw6BgJj7BjD8wmtZLknpr1
W+736hS2AJ82TOQLMRIcK80HigN+YYVTfUDXEOfsgKWuDmGVWtfULd1nFa6ntxRFfobnulxG0MMP
2FcwkawPrNXnybcSJPYbIQccehr68VwgSj9B1+SGxPfRvxFJCeydjpxq+XshPpIrFt/3we3HCLQs
pYdqviIoDSOYMMGhHzt5Foqro5TkYZ94AuUwh3QsqvCgIEzt4tqbLzYt8EtTjvK10yTWRYu3mFdF
bIGctPGQuMWqQVBUPu62WoFkeKBofjAWDbbuehfohtac26yGIGx6WAcCRU2ow4G7BC34e4y/7I1R
pEGOStLwTNcdVLma6nQ/QOl4DR3OVEw+wNNCQfDhy4YfHKr1HuwERmK4EPKcxhbSiMCel6Pho4f0
A5+yj+zx8XvgUSdHFBjTS1+n0xdoB0yhejbkHa3UJsYzjXh8YxGqcG32Y3WDHGh4SkFtfWtGnJ9p
PYVnrJHFvIk1byYn1e2euM85JhKWO2BE2/GaeS5S1r4jDWXrw5MYt0WT1vMf7ef/FTr8g9CB6beH
If5/Fjrcdt/juvqzyuE/f+U/Kof/z955LMmNZNv2V669OWjQYvAGNyIQMjNSkkxyAqOElg7A4f71
b4HF6iZZ/YpW8zarrmoyRURAOI6fs/faluW/IoyIWDikClywaxP7u8rBWrFZjGLC0HPpsfNd/1I5
uP4r7shoZebS/wb7wzjgu8rBtV5FTEVW4oDvBi58yH+kcrB/GfLjNGawj7wBuAJG1L+MokoxQToh
Qei+KCMHe6rDEB4ZY4qsNWI7AJXU7xEKt5VJ8w08JLawjZxzf1siGJI8SeA1dJugpLYWY16OziPh
QLge3nrhbJTm1icKgk4Q2ZtsHkx5z1bK/Ay/VJo0hUUDt2EgOw3FHKh9KuU2o8k/H9rIZXeW9cUZ
3Zz11UEG324i0YcfDbtEkuuH6Tko3X7TtimBJ2NA+i9w+QOPG71zogodapm3M+md/oS42B5gteqq
GxCKOS6qP9P4GC4+3Ep0jmxFouDKDcuYU+viZinJxglmb3ovqU1j1+yidTPjZ49DEJZEyrWLup9h
okQ7tPv4oRxiwsn2mPQYsmeoul1kZtmlB3Wfznm6Hbl5P+YUoq8FMvDi6rG72Ql2GHewCYCTq3zJ
8m3ls8KN7JHouERLNCMNGHP1FHjjCOcs6dRLotpmY5DIgdtnSdKnwHUAbImW+JwtTdX5lPtJdtFy
WV6Iy7C8g+8u5ikF9xpHfimarWkVtbUP4Mek9OOd7i0iTVzIaY8OFU1mfTZEY66y9pBZT53o8C4s
ZYDaDQ8hUEed2+wFFnLGdoUnxLDzK6zq40R1eM8nsU12vXO9kDCGUCU3JycW5gBC1Ciyr6SKudiO
8/IocnfaSyYUOzqr025qs+Ch1+6CfDIr052txhYUYk3AQUt71qx768HwIhk3M9u+xKXgZnPg+Z9l
F5Gqx01zhaqgV5MZ0VblJlUY3vd9Y3Q30PQLdWuSKBt0Z5LZZNjR72gEDTAOBO2/es6a7t4t+6w9
Ya6z6DY4OA2hlIP5RbZaC/eGwAKsl5uM1OaQ2bcFuG5HOyl3HqAocq60NQdPddfQrg2MJeqoXOag
33itIJYnw+rIo4Iohq2zLISe+fRg23PRJkN043cpT9Y+UEQTVAF8pSpUtXEze3kqtglqxqvAj3xD
QlYG4quRH0hD92lnCznFqmtqdVpSBR2f53WDbbjyzeyIg5CUHJwL9DFGmkpkca9ZzEdzqIN9k+b5
fb4oC74y9R8BEENSc2eDjIao0Kl83CE4neS2I2lxvtE0G9aoaNfZtmDbnV0317O1NRtjwDpo4B28
99EIMmKppzq4XXQtr5XwzMNQBtMuS52ULShk21WPSxlVGUF+NVo4GHuyymjkMAfyh11doW61c9Ee
GOz16dk1xSP0vYIZ52R8MmB5cE+hiF22IYGV3nVsCejYjz0eFCyQILQX4nDJXlJTxlM6tNuDS44h
dZ8JMmMTGc04HlmJ1JPbMzk42Z4/9tu8qmyfJmFmy1NQJA5ckG74Kg33tTf5uA1yT+inubTB40qc
tO1pSHCYhp1BZKBgvqGTwn6gy8z9mLgRAXRFymqGtReylOqLg16c8Fywzyx3IZOg5WaxZHsJHNFo
4tSG8hCGiVhhRyv1lXPV7lOyJ3Y2rfYH5oPmvHcm+juQCuxL6zfkRYWFQaJs3jEUQgaGC0i7+c50
YAZuxhK9+McB7+WHwhyN1yRLzu8EqfdDzGzK5V5zl3kHUBumueUb4wkqOLMNB25p7GcQHS58g8se
jn1AtWFfSy9/44e6pqchDM+uya2i0jEBllcuwYOol7a28Any8vwhXTG63UxQ3uC0cTKS9jNuWo80
7tu26aaQqKWkeraYMrzBlvfW5RLG6CkQDFHCmPYRPFrw4CPh3aVjonajjcshiKi44wY9fFwZXsLe
eZHLI7F/7pVt3kRi/RDU1q0k/+5Wj9ovDmHfOi/9uLwgvJ+jzQiv2tpZeVKF23k2R7GZ5mKZbusO
m4ZWliDis0V2z+ZzSR+A7yTM9Qq3UlodaycYAw/gipGkybkn8i+80rS09t+KhP/WU7+pp1AS/a1u
9H+rDx8/1D+rRr/9yJ+iUReNJ5I2vP7M1WH2Uc58L6fC8BUbEggiUKpgXbAe/6uccjzQpejTqLKg
KTOVQI/zvZxyzFe27ToR0hhskf9UNPpXNQhJv+u7oJjCQ/ur6K6wOtsVFBhHNlVuwcCAXcEUueL5
hxLzPwgz/yoGQboEnBURLMoTFGg/i040tjM1a0KyhXYtjL212jmTGd7Vckaz/vev9Ut96HJgvqGV
volAfabdP78W56IQ0ewk69QwumPJXs0hlnN2NdvRzq8xEPz9C5Iowa/8WfdBdhCUL54OK+jPpAD/
kfezlIJBTkA8PRrcBLJ534437TBhqGgNyPDbMJLRG9i2jr3HoDyT4svmXR38VtK/7L0U++48U1hN
C17mjiS0Y9QubBVVNOC0WPLhpge4fID2Ex0k3r5D7StUEcmy2las+qEqq+hQGcP42hrxvkTzQPJ6
UufXRGHmYbX1mt1akR5Ub9YnHtcq7kdRP/Cs1F8i2hlvstJl1NKlt+ak8lgGVbOduoqGDB2jW7SE
frjNCmd6sAUuDDqh7Z12ZPHaZgaO8TKpmDrTEwfTMGPlbuTRbMm07XVvA6+kQhtQTxDEvhAIMzri
Elhjex26kDzmqnQ+mFVqHNFJ9Ts9GPLY4xZIN/T5E38bri5sEdb1DVlJy0PUaqYUZi8Z1g6huzdX
53ZeGlg9dyAhVk938IfDO2IDgd+beqnYBwQ+NJgTuM631DYmeHqnbj5OQ9C9K+gpvsXTYT9GqRlh
0TBF9LkIRUdqVDTgkGRi3dLCKfJlP+BSJfY9dDKMJwCzmM641R04eOo0H6DXDbKf6aKmRqLJ0RUb
jhzPtV1x7RWamR+xDThhHZorS85UcCnUIzNlPxaWObyrg3betxj99+FM3hGTZL/+PNR1dsia7JMa
im6Xwte4oJNlFGtpL6tjwcHJeF7d9lXNs8qxjQenyfUN40BCFsRilScf+r5BOkaR4B5pjSeXLL9T
4prucZaNiB2VlzfY3qfPqfDHj6VFQRbrlBhfwn/z6MwhEDti4z/14EGkBf69WTs1ZNp/xpEvNwyc
L4kxLpuyTF9Hgt5aT9PhYGDCwOFSL1ux4DVtwfxso4Qw6KAbLwVeZtTSI+WWb4bFBzZ5Cd8cvHcS
iraMRkq8BH7/mMjKvuGBf08/RFro0HFdRYgdiKa251undO24sPB91gQweYMx3pZ2oz+Oa4uLM+t9
xG9b3mF0t3elHsdH5ItoiMbwse+jPMbr+sL4ybnaOgP3orS4GoEmtDDy5ROTOFxJVjTvVe0+NLJ+
GzhJax/zMmQMv4EOlKlPjZ/D+knmaQJrNpVLge0r7NhxaFFgyk7rkmxde51LqgqX8k0oK7WcGJKl
DN2ytDdNZpdGqt9QIJM4StzEJGTKgWhh/KtZFM/udyQ5VGAQsM+BAiAaIRlO6SYTGoALr8yJRUe2
sjZ5muYgZ+0HLwuGx3AfqNL2TgyXqeuRMqlwLwqR9+QkolvdpyV19uNcenwn/vYZX3Y/0NJua8I+
7lOIEKQBdMglskuUGDPSUpFI753dZasI3GwSIhzlgNnzTTFJw9v3S+QFn9lrcaKyMRuNc0kM2DQ8
lfiK6v5gRaJ8h3qsfIpmXKcDQI71xQJMnSbd04CgCPKyHTtRGzkhpPKWmc4ThAiJi3aFxXij45yl
ndB4Aut6tGuD1jlig1yxu4kswmbalTrTr38dJD7BYQgOPuEnTsINbVXCjUsHkxkZWRm4l0btSsJL
Tx3GrHO+SIhJ9aSZu6+Y543BRP7Suy4RmsEcMODwQd1VQ07qSReNjDJN9BuGymrOQBK9Xwb+X08A
wRP+KsJaPGwR+EhnWT8sjtt9cWFt3fBGVmuU7baXThEXu5t8JOjxoGR7Cs0ququ83P9Q1T3vz6lm
aw+jsn5YMbZoNMOa92aQY8smxBixeoVD9cZhYnePGdvHPKrr9imtMzxpgjLCYvEAN859W/0hRf5v
FfibKtDxUbL+UBXsPowfvvuErh/qL//3/7z9Isb/eZMPaf5LmuT3n/xeDQbBK8bCyOCBgTLGxkj0
72rQfgXSjlLRRyhPmbh20P5MkzRh3JuWSScWvnyIAvvf1WDwCl22T7Hos0leG3D/pLnmh79WMsRe
UYi6HjQxHBLON6HzD2zNFONq1RRpdhJ1MF3w8nvsl+xOXJB5u6CZ0A6TVMQjjLBHwCL4m818yXeV
ackjZkyDfNpkCvYD8I4n+hoGCU1V9CYnS+iQRQY5UPkUtZd2QfIx+TU896XMvBNyjgB8WTElRFcY
rmQ9C73K27il5+/miF2pRzT7sU/cM0lUbKhQO0KsgXmEFEBEGP28AcSxX4CKkm8sgVlyhbyq13qc
9ZaPpPb5vLI1yel+SGVrMVZeF6ClERK9gFHNW20k/aOHx5WRqbZINTdRXnet8ZAnXcEjcCnkcXB6
NnBSNZtFOOZbPQzzpXBM9Uyzy9mrQWT3hMsQXB7p9ZNXmFlju/bzXU6IHhIsj1TaTKr6Kc08b4/L
n0aK4MuB2VuXyMpft+ij1zCX+TZ0FXVANW6NnijDFFcTEYW5Oz6VXRHcJ63lPCQo3vCq+qTuQEeb
+MRVaOgdaT1M+YPZje0OtYEPrW/HeybDQ4zu1m1JvLCNICB+x3k74V06wum6CVzoQ9aU3aWhJi7D
XoWeu2DO7K3rSZe5e6rdm5H0vgSwFxvikFkfDKjxiPh0fO0KVWDcZg8bG7MNXr5QTr0ZRONxPrzp
hi7HcSzMdzkWyN3EZ4nLZHyTNEy1ERi9VqVyt5Eym/eEkSpSorsAfmWYEZej4tTCPlsVafrI6Nsh
9ydoq9uwqPsrYmVi6aOqzoJNV7f+XToJH8qTkRDOGMzvkiGxH1SP/scjGe1G6e7LaNPjwfWs/Xh1
qt5rWYjzEpEEUvjIZRDnkh5eJpvK8gFTNUbyYDnjCx0wcAxjUJ4yn/L+IkdKvocFa3D/gdaEeG/K
fvqK1sp68PGmX4q0d57gWxU7w2umGzqPvb8d55pDJnGX3yI7fC9pYFyNzjZiW5pf3KZ+H0jZim3t
Nf2JqSJabIh0d1TCltjVgwoZmmfTszYmAEBzUsV+n8Ds1vU01UfTJb+eRCd8y6StSPk+o6ts7iyF
rpheVC8oz4oBtzxnOfYCor/yRszmA94KilQzM286IGLOdrHAo82dfS89650W0TtzmOgGOvCJA7Pu
jpGfd4wqg6wfDrPgijFT23/L8P45Tbovpj3x9C5IHYoH3GRHr5rnkFx6F6N0hCEORop9JAPZeuQ3
0M8lOYIwu/wCKE+eFqJiBBczvaLtlApp34pI6PQQJsuQbqehe1fnRjc9DqMi4N5EdG5MCT1taM5D
X5KpOTvzjm71wiAsOijXyU4lmWD9g61tUjkB99cRcDZVXErHLEq8XF1TbRaz9W4FPgV02m12wrVo
xX03Utbi5dhZnR++dYcayNeoL40ZGMd0FNkBsTF7PN+m6kwUsWOmkntIHOD5SVd9WTyHkqTo5SXM
kZA2I8OERFlkeAvA9KhTvAfaq2UMw2be+JLSIZxLd1v0dX8uSod+2zQREeiuUkyrTm8l2DyOQKH1
c1+Z3skbw+GWbYLxRqa7bKouk0kXuq4ElIZ8xXQxUAW20F2wRr+QmOXvWmbcCLgTHXt8F4pgUuoQ
QfTYoVH8AeFG8WjuPJB3wan055CVaugfnGhwnnGSEXLl0w3NPCtD8NJpRc4ZSI5tVJXlO11EEzu1
QF5w9hUbFoj3aJbx0SOPWMCfgHCigUk9oudrpVP1FeTPzFeDYJ95KRChIO+mw5KITy6Alh3ecIS/
GfpRtGnmdErQPtH0SoabvJre82AheGqEs9LoXnKXJq2hN2Mnpb/mG4+f7IanTRy4gbhBOBDt59R6
SvHXHx2jNi85XfXt0ITFoQpoOmR6OCL6NTcY10KCetfBOHrQoz005slUgbVNImxxvnSXGLeiefFH
ibOhHSikO9O+mYC2Xxi15/FiV4+JD8QsEGlwoM0vQgT5+VeS6aYWRAiiwLpj7ZUWOfMRorxTH1lY
KEhm73dIOO8Hq93iYkJeh3ZZ3WZdml9zk6S9suoQzuoy2gHCtM6g4BLE4v1lqes+NjW+B68dFsQy
nYwLGFPoOB12EJObnQZNcF801qfUGz73WCbiqZQf69qdYtNSFnB8HjfWkJ2wAabHSVbOrk7CK1rN
x1E0ztWpEeWFoP8epJuj3DIE4fHF42QK40FmxT07NKjC7MS4G6trGnwza5ZwUZYcfDmaNOHvPc3M
xcViAS1lnggwdhf12i3RR1HjS/exJ9HVP+tiVBP6LjNtY5snJ0KgHMfMZgSwwnzNlWu8q9+EGgxs
EnX6qc7NyHiRYg2FzXEF6R3tb3tr/pEbu5RWxegmQPatjviVn7wAz+NOz5pSRhDAdp0hCHFZ0RPa
YKRFO2kidvwC2G1B8TLp/s5ubSPbwTnRb51uWt7WWDXOwVhYlwmF8KFXBnF5cx0sJFypcj4jspEs
/RWCkGXOxqNCbhJbNSsm1mn/gyqQZlOWF2d0ipNDxzqoH0M95efaxFUNJj8OgkjulR2mn3t7Alo5
Su9eqLDfy7C39s4wQk3Bqq02Ze9wgDA/LPvMTNM3rko6mBQYAIeuFBQdiPKP+aDpe5vamzaS3YDc
8HTTEkxG51yGbqqzeETihYrYxhwdriphc+8Jnm1MJTLE5CKA467LKjsrYRERqkMxTydiHqZLlZXG
yeh7n8IvwVdAJ8UlNsODh7dtR93nAAdRt7WkJAy7DIw5G+HefCc8Ent3oHGKhzAb+sciQvy3iXwE
uu2K7RR5QnslxH+BN2GZN325zMg0UZmTnkQe6FswNxFcdzQpdRHWHvC4Rb1oJ3f3xJ8enJE4aFRA
jPbo30t0kSVCYtE68zHFEToDZhZp7EDluLrKZ8xCBQTxsiY29kQmt/k2STJUrB3sB7KbnbDckz3U
MNEsR3ObD+P4wuKtY4eDdGkj6yNpi9h1Ag+lKGcUU0JVmmpBR1KyKx4nzNnD5NnbkYBvaCR+Vt9B
xwwtRssZpgQvu+082e0jWY83EknXyc9CrDAN7Z0HHDlTiRupQfS5BjRGnDSMNqJHJoFn6/OShNn7
iJr7ta384JK4hBMi0J2DG2FSmu2S1EqjW7xkzhYd8MtYg5Jj3sqAJPVcMvh0iowLktNAy2PYiqLw
3zmdO8utCLvhmDsB60BlR7f0J9UXm5nCduxz6wPraX7OpWHFqnf9l3kuEe0zKA+SvcGWNdyRvIdS
D7nKXjWM1JmNO7HnY00Cl1fGDKhhFS3YotjYzxcdzPKqRCofsWMNYD3lsi08uilIObMPqpdMb+22
dfdW3o5I2q1uiHsb1k6NDRZt6tjHhp/5e3ggwWe7sZebTuT6GkLveeqkFaBhCdriazta4pmpTfWS
YuFauyZFdG6xup3zoDLPZgeRKOB6vZh96j8g45K0/xCf29rkBSBgbqzA7WJF6Dq1P0RRz0smhJYj
fqCyqpu99DvvUFRGcwK5BZcpquQzqEJnb5hDjM6VZPl0yDZFUc/XAqPkhUVi3nEDcrMEs03Bwsrn
lENOfmxPkmxd+LFyMVFty1n19EcE9/rgFpcup0aparOngBqrT6T0IOZDLSnjvCeqah5b+dlHrxpu
uypabmfbBqoqB7f97xToD9rHb/b/BFlZjGD+/6qa6xf5P+cvg/iiflLW/PFjf27+nVeRaTPMcV3W
dKYhbL6/j4IC75XH34SB/S/1zJ97f+sVepTV2+pFEKoRMf577x++IqIpME2+Yq4R1v4/2fuTnvHr
FMNc4fIh5Q5Bibg+fjHR2v3QQBryGD4QropQdnDAC6cYai9gbL3LYqJSfko9pJatmWfTac6b8SHr
jLk+lAUPwi37YfRm33S+Aa1cXGL0Cu1uQWuXJm7+gLHEPARl42zSqEfmuhjympZW5rBVQee52GwY
6Vd/wF0Car6qn4ks80iKxz8shui5XbWxRHiibW79FTnoWTweCKXTt5Nc8YhhEdKY8FuHonA0X6LS
KnySJ3P7sWnQp4pVpwcoGRhzxw9KivyYTshyrSF/7SzDsh4TzY6sFkb0lcECDciuXZvcbN2GUzoX
aPHwN4F7nK0x1hJ9rnYRTX87UKWGwzUE2UfOf741DLG2L60ZwWM56PAQWmR6bot6OumycLfopPlB
4VHEIJ3swBiTGlpHb+dC9+m2qULzJVj9k9+0oXSN9BGilz6OUiCiMyZe3SKma9MUkCNFDtdE5i2q
5pWZStckJ2hzA7BfH2kgE2yM/9l4N02O90RObF1vfBo4N0MoIvPATq96A94LXgzsaOtlwIKJ22gx
+W3srJe7sKuMr8CIou3i9MmZnNHss1GJ5doBmTh8e39ifVdc2RBBCBleRa4jJ6OpIcgEftDIPdvI
5oCped62IdHDOeVVLEIcRI1eZdTBiLQzDS3m9JtpLEt5Qzx0lh2TClX2EbDemuDsBWWO6hSf2KZI
tLGSMsuzdtvTPLhkAIzFPO0hxNovHX5Ff291Cm07lwrjzLHmWgg7dLuTEDtePQdQKSDZoBLwnsC1
Vm8Gw6mesm5QL32XQQlGYPVcIHHdZ45NkAV7M+fceFN6SXo3e1uojqhc+Cu47DjZId4lf1OOqM/n
Na6l4MkRY1MSzcEDPrLhCbNuKSOeZEvR6XfYUYC6ugz0UHU4XyUYz24LXbJuN5ajSV1I7SIv9xHi
iOxaVi2/K5qqbu+3vi3pyDgzZ3gzD8i64zEtxSP+MgTbGsCh05ZYcUczua0ZdC7bOZXhwRojaz9U
mfMGv0Z5qENkuxvCW8kbW+A7hofSMsXT2Lov3lhNN7VnvkW2rIqtwofA02vSBk6Gsrqt00SPWwHm
Y5+H+HUJP+m2bD/hP4K1tjf5FA53WlftvWBa9yCwu+/xR9ZIv13rPKVNtLHsHplc4LtHTT4P9b6r
z5nbw5crsSGQvus5rxcLA49HBwi/4IB7QC4MAVxRcmPYGH+2ARKnfTPOS0zkG3tIeu6AvaUwDn3n
iNvJiYq7JXTKS2NQRo9easdzNhPtagbCnGgbVjTpQyNC4R2tii65mMHLrI38NrGI82LUVvDQQEOj
OPW6A9je+A4uiMJq0SCpwvFRpvEzH3QfcdMbxbA0R7IN+6c+MolclqDeYnibDvDEstGvF48NjC76
7IqBdjhrSow3hu+pg90HMMAcrMmU71SfRkxrCm0ifT93h8eI8dzUeBa3MuR82HzS3M2+ry4y6doH
dPXibcTnd05ugnPtRA9sFWzpdDhPmB+3hvInvSklBjb2DqjvmZuCXNVZAL41aOAKDBiZnv0gNREk
VsyTEB0Wl5koabWdB9qjZmHD93f8DslUNC8HdhyMUVX9oV0LpCFXNtS+PrjSfQQWDg8NdbUNHzqS
C0YLgqLGbqtDPdzjjSnP33To32AQtj+zKgkfxfK3laUvRzDWS12e0bBDN7I0DpBvd1FHUsnTN+/5
IOuQ9CCTZXW225lVQ/GEGRAbHZaU5Zl2ju1yO4A6sDy06e2Yga3F0co7qeZS3yLfRA1OSFTUXHls
q6sYylYhrdff5fYDxIzLtxrgv+OS35RLFlmqf1ctIZoR5S+amfUn/pQg29Er+F00/lbejeuvqpQ/
CiVEya+AbRFnYfPU+zbu+HNIElAouahLkBiHnuNBN/lXoeTxpXWlBc7hBC5KF/cfFUqrmuPfao/1
7Vg2bgjLp0RymfavApQfZiT01lWNj8X9kmHaLb4yek8ccyelbfTjbhyxSb4pIKeOe6GcqiZ4QXne
J5ISu+bGaoGh2/vOYD/FXh4hP2aYKGHfuQkrnq2vBxP1KfNrt/O1v2FXnM7Glt5mjxvAqSalnV3O
Y8y+o2TsAmYgZmfI19kInTiu0DIQlu2qKLdXureJZdgRKdwemjKFF6Hhl4sRJgAaCtHlW7xdSWP8
BlT2C4oFTTg2YxuKF/9Dqf0XUlkrfKsd8cp86YScaa3XaZBBbmXkj5IEznHESy4WvtavPRxF9cxD
JOKt2QyW+TyNJdPl9Q/X1n8QH30DW/14wiLaJ1DxXC/0GJ+Bofr5hAWFvdStGNLPFg3U8hbLaLrW
DlMv8kNmAC7AhxbkYPo3ZdaFE83ypUPeWrBQlx/aRSiw5sGE8PqM9kHAoiU1Rk87XS2cingcdYaA
ZvATg06hLnv/qjWP1CyG9Y0wCEwFvJHoN6Kjn4VbLhr79Rokidb0rAjlPSPBHy9CIJFLbpRV88WU
LPRPXpMb7SNPtlbf//3R+5k+tb4Qm5U1X9Mj/PQ/oHUYScMUXpLPTDNty4m7KlkRL7bJHb44QeHe
SdF6TrZRvlcZ4xZKaDA/IkxofheD9fNs8ts7wRLLINQLoShF/npIfrjvCDdTZrQU/udZhIN/9Sib
Rx6ctUHT4ox8RXv+Pz3IHtgtlhIkemaw5hH9/IqGlRqMmwLnUzX1Aw+LXrHbKTczxY+Sv3mt9SL8
4SLlOLNwuQRer5FxK77w59eyoS2XXe7ZnxcrZdL3BbMS2vpT0k1cd4ya1kNc8Uiffhch95crCX0N
1DT+AQzHovuLNg/1LZurohSfFnpZIW3poArnx8Q2co7u319Lvwjl1lMYgcekAIdOyaza/OWAFm1r
lRIw8WdRuV4dHPMoaV5X9sgahZUgTdLubol0YtY3bY6BwYy9OSv1mwILEiU3uJZkQWJfUPA+0Lli
t7z9xkS4KclOCBVtbNeth+Pfv+m/nJg1vBP/Csy8dY/963JvAcSzF9tsPjUkJ/EuBiMqi6+zpQzv
pW1rtps7snrb8XdBnb9kGnOwvIizYvshyd2ujS/n5ysiWemSGECMj+wnLFtvId6RfrcNwi4bsN+j
pRYYvX23DD4oMpcWBHfDMETYBAwMas9gfSRUgSxc9PgxbciC2DuNbxO+RDigCHe/OUq/SAfQkIKG
o4HAbRJBvkI3+/Pb9VLZIawf2o+YERj6bAp2eJqdwDJwUWmF7Gk+RKIT/tUAWsndJBocm0iyiKRi
sYxQhatPXIB18dUXND3Wx59b0reeLfKVvv6xAKOVZ3XxFlzaL6TjwvBeG/ElVypFs+DsNMPo8xhu
CA7hjDDRW5doQ2QZL2irpQof4PuOyzuieyghNtCgE44FcwCHRd7Uud8Xe9vtPe7vPpP5qhh1C8Kn
5GTl1oZGs9D33P6R99LkDZfmoDGHyo3VAUdBkt6why5FC58unvyl0m/06ATz8zz0/vwoCv5GYs0o
WEE2WYZJANg/KGpeunaynLq7cDqDGx35XsuHac2iyNK9osfbeBshC5vv9NGJ8y25H4gadjkxfePD
KIOah5nqIViwQ6NlSAxOAUtmhn4iI74dueb6agbZiP7ViaD5vcMf6c3HxMWkfltBb1EHyCJLc8lI
fZ3O0zLhDtkuIRBy5ixzDnsqnHGd0/NPxvWZ2YeJzd1G7MLI+KV16cyUx+8fwCvGjI+KLh5Vxs4k
9pcD6uEeVBexpOsiVtV4muoYOJPPf/KgUyRFiI5B9Z+/o+96A69STrJJtuWSQ/y+cTLtcQwmbC+8
9NJlLI4KM4R/Tf84qi79A47c6gjiG6SkV3tu6KmTZWNl0fqKjhFQtakOz3S26Qhz4eOx0K+XSxuN
PLWcEjo7GCQAMPVjM3ot08rCQRVMJxq2DvfU3EQM+dinDxXnzFnY9X2luWclwX5MxzJ0zgYEL/Wp
r1H3d9gB5oLX91gYreQprExoJzuN97KSOLebGX8YVrO1diusxeFryqda5EMUUecvt72TzE0at8aw
nvfAnlkF4kE7SKfj1k7W63dwepc/IdrrnRmv+OzyW0iwcLkVpgJJEVqEdMRtvBnYM/OWFJ+ev5RT
sb4XN8qQoW99omrUJ8ZOJVeKo3126TOCbt4eECRILuQJzFCyr8INuf7zyeUPBIurgLdVuNhfSJCb
a47gxI6dw6nDYL3moD8F7rEYF5fjk5r+eomupfX83IUN/+6tsOIGDoqRtYHSUVNlQCnhPleDYv+4
0VlJIVb0zMG4pV200STP0hHlTHiCurGh32c583OAIJOjkLVBBzh8XkDE17cET1j8QiyBA+8PGe60
XtVOzlhnRxCQtrzjElbeMuwK85lUvjyadyikgnVlyqqswHhtMulnitk5GMNV6qIjyjSkgnTGQXzv
KbVw+YcCkb8bRzVio4ZCQbY+qDJvZryRoXDs8RUmhZPftVaW07qkVl/PMO0MZVp7urxiNk65MMkR
AOXZI7NiSw7uX15KhIC8RzA3nJueUNPW+9AwluPDNElBf/YpQrXoNtdWtBEzY9/METzFLMQsN/Ho
pAUkmrSb2ijaTNTtTNcS2x9prznF5KXATUqWWf+TliivsnWxVXzmqFhKTQtgoN+XpTcrHMYKruOC
DJ2LJy/WJSUYpeq7fUnvlj+ZYKa4hkgL68v00mJr5GsMbaYBC4vnsFSKnlSzcFeTQuAwJzYNa+qv
Qvo2S27R9BNnqbFASmZxq2rJ74rQPnGQJg4+Vy7E/WSc9yYDf76TLQzdns04JOu6VJr4+B6isVgr
wsydUpanDl4Jx2/MDFaHmaPIvWDZo+CCmjH/qPbE2e9p4gGY4UoPK6F549liTLy0a1UL75/lksfR
rLqAp3ydeKTjxKFbrQ/ZcZx6LscFL1Br8FAeFOsDqiXDvVsYXHYEkqjac49dPzZ8pLAd2mGjsQPx
+ia6TvWpDkm7uv2+D2HVXw+ObHunjQ4l4njGqGlWkGZ1WsUfQ4cA2gFpixk+iV3c3v1T0qPYueQt
D38Vk1sS8I6DQhIRt8daGHBj07ujnD4SLrIewe+XdZ0TOsAi4+JMs/8fe2e2XLeOpel36XtmcATJ
ju6O6D1rsCbLsuQbhmzZnCdwAvn0/UFyVlpbTimyryvqoo7zHG+SIAgs/Osf1kuqdOEsai0GXKPg
Y9OyMLJnjB1fhpIAlbmIcQrzDXqp/doNcMIDk0osv7mwMbKjtx3msjdW/mLN4ptRTYX8bJaquA1t
mxgu1I9tSmJW1Yw5GOY4ND9QhbXGmcRmw/0UcacI9qombb/BUhe4FvhVXTy5BBnLG3hdpXyccB/E
CgF7JEB1o+jh0Dp0UDXiX4UednyIHDtEmhPCuQscaiLyDfDTLK1zp2Bb3UZBjxCw5R3R48ZWsF2g
qGCO6MKdUDnNzNW4SKwKV6g1aX6uGmnM/UNoW4P7WeAd4BJ+3boknEE3I3O4ptPH8xNThztYf9In
7GTF2seqYYF/lxaLifDYXiARQ1COhpXoc+An02p2xFDEqD8o0JbbOIOzzMYnev+0g60crByQbGs9
Q8ysMVGDaxRuDKJAMhyKsEdax14RH3zb6Tfkak3LWURr09xbk5XYu6iBQdWvkBUvNBMjxzOuGmQ2
7hc6x2gk92aDbLPdhjAZ1K3qldN/Mrq+Mm6wpuuWu75iVq88KYT8QnM2hlZV9NCAmn2gvHhRK3P0
G/wCSTPI91HaZ2q31G4AYo3hk4MtkS+XDq2zRXe+ekrsph7VJhf4sCAv8RxgxwETAX9FQpDXk3gT
Va2nrURMrxD7qDRycYEg3cjz/SgaytrkZwIGD25NxyAf7Hpjeb1m7Qmnd4z4guY1zdWr39W3icek
sG6muKxhp07k6bEtNaUDF+8LGedN426woJIRwU6miV37gW65RzUWwdtrdlLNutZEJAo9fi8dZIhs
KyELCR93G+jyUbKB8zkkrtArHPi4rjBTY46saIfGkHwW/WDNFJzRvTEoSYk+olv0CYlGxi7TV0DQ
2In5Pr+5G7xaV39EbuiTg59ZC3eL22aJhGdoy1Tco/ituBWrMXw8IlDDgjU0Q+uxTHpdR2WvWSWN
vXdtiI33k0ntZsCfnBrWsgwLURa9yJiiiT28RN66HS1y4pxD6NoFJVFlc+I3TpDAmjwodUkA3uR5
cAxZEGn9s0dPSMYoTaY57BmgpvL1zomvquJOZaz9urDbW/wayamrjUTXNQJwfoyA94hvCStVyf13
YabXydzFMLBY2xmOOPWmiprOko+hDHW9GkYjq43dD1J8n6a2Is/DxpLrPK6hpBAy0jS6lqoaX5cs
SdjrMYK5K3rrF0aVM7yoqbDGASdTqwI3QF0SKcY2NKXH8LOGYzq1rZ/hHtGVepf6vYO5Vs045jUG
qz3RrDjRVPReIoOBbGLSLev9nJYcOooBi7yJZSbTdzB0Bmach3+OBCF5pIsMjbNQkZLgwy/WaCvg
SedWNQfFioJIT8XUpA648UoVefeFtMCeXl4jG6Zl3XH8G/pbDIwUT+zgHcA7wrLEt5DaxPk4JZql
akbhw5gj88wPSSPicjpxKUfH2wW2OU+FnFyDT1IOY5qcNCbMWouNEmEXWVw2OmnN2IXjQNwRzWa1
TidT+j3ULJsqJbYjXc2PdYNM/WA2cTcGV0uf2HV6LiKIn/IwLxCn6UY40uRRR0hI423RufoToTWm
AS+sd/kPotHVhZqFCvY+bVE1EVmH+SsqsNb2C+rs+GV3TcYRY1+UYqhpxBrjU6pA4Uhdb/ZCz8eo
yHQXwmQEsl+Qwyv+wP+u/2uqErlcTUXgs10SQwEYuk4SX5eGaB5iXcw7jb7bl8+DthzvpSAhhpcq
Oxa+8txRzhh/G4MpRmlHEzknU6dsmQvkXc7UBNnOla6eu0Vl4+FYTlYMKTouoPAMp/xA6VDUQkvj
3Q50v7lWtUgewWxGpHRZZ+nSOhxrjnwx3WD5OMohhRHd5QMurFj7Ta5z7k4WEaErckmZZ6Vp60Ng
1nic2ExL6RfSuZDdrjh48p772VvmM2eyOT/RYJ7VuFe20+aPY2IpBoUoK135dLE5Umt0WDbxtKkK
cwqD3ydirJ1CCgNF+jSnrwqOMn+KObMQg2cYhvpBplS7XJnGiDmUk+AYR0s4kXFnHALROMOtwHF6
MNYY7DP+SHL0oRsSoK7CpLL0IR+6py7kY7rm422EQyVvTQusKdcV1HTsrOToIcXxQ69G9kQRwhpA
NDVn3pPWJzmx0+cHppMgHYgfkrg88rMNa7I4NL6n0D/h9szUP1iBhQRrzgPqqJdPD9dhXVoVRhlW
5Qred9G1m34cOz0xqknjR0bkzHpK+mYwVZemq1TVMiCLPnF7odEzkJCH9CfOaTluPgnUbVp/PWXx
PkoqNVwLAmG7k2BQVnEIoAh0ko3NcKkPHNWPLJ2CNDN+JnSJ/w33WVvpShSGEqv4eno5NSIlz/lK
8S3D1EEHhw1i3YFc2VgYx6M+Bb4cLLCa0jddL2rCrYivbEbe0wcLJ153DDImOockBJDrKakqXmkK
f59bHyrFTrhVyRD1/Zb0Njf/5DeAI/yHy8yMmm24Cu2q5zUaCfqLjujDlYAht9AZSJwqf3RqpU/o
GEnqlSNUnS50SxIAeJb3UaNjSBfMCIVziAkq5BZSa44wIzwj8ECBNfVdRb0+Z46JUSTexnBRLeAU
Mkie94NLHsOd+pIcT10N59nanf41TIURRRWYPVpHT0y6e/MyNZBOaGT3/ad7eykt7bbh9dAw0sLn
15eyE0wSRtCJ76kb6fUJerszUhSyWLN2vX+tZzTwT/wYmjIwtQN51HWQTR7DlJ2J7GVCTftdOeXA
QWZIdLbd2uvdhM8wkaXFXriImkVjqLBaB0QZizYo1k2POcIFKITubIQcefXa87Iy/+59YIGpjwiV
7+EKdY40c+JP79/+m6FygIUpbC34ohZqdP3v/8D2FcYe9G5977FPLcV9sEHpYyGbK0eo9y/1Zs45
AMPohwSdIGJtjvFuyijSzSigHsMkcIb5EM1Bhmho8fUnIiIYEx9NueMWCpJwyxe27XFN4leO1e+y
7ZwgBr9/bMhY5dd7xcd2NaSs7DcYuOk9Kwqp9ykmZv78s7B9U16y2hFD+v6zHw8zXVMPmxLdVeVz
exNYhFhHjVMYO9/AJDg6zkkCShUgj2YFfP9Kx6NsexAiacTCZ/PpIB2D1zmFYeBYmfUNiYaff+qb
Qm9QacZJ7YCuSFeN71/wNXuNpolHGyxAgA+1Tq8qRzOoz4KFxWSW38h51HiydCK9zLEozrzXSLaF
Qpqa4kATriF9JuyM79/Ac7bMn18gpZZjh6aDeC7wefTjlcWNk8Jq/Opbm5iY8mzpZS1QedsqCXFY
eS5bRpno0li4rl6/f4PihtdryKsUPZq0k+llcEo0+4wR0P/MV1yj1eO0sBRBxZbQ5eQPYzfp9ChV
V6QJ9qzW/gTtAWgDzcFYI/00+fBXDqsTtUiP+/f8w0KwO0EcyoHotnjCpXZ/ktJahkBf5zhhsw2h
OmaxMKTtc4pBLay3c2Sn1DY4zustvmkkpisoHZ4B+o7SnlUzz21dNJEv9lzx2RCOIDRlZcZKYsLy
ZfyDOJMgk/aoRg2yVDmw7PvD/2bC+S4qckGmEyb3b6f2wMkiMcxlfqix1KdmjZteH4FIKdUVwG/I
+v1L6vX71QtnqQ2fezQBXABfMw7+XLRolKHI6ILpIYxx/3C2A0Gw+ScPlmduXJgdBsgRorxw4BCl
rEgXhUZR6rt5/zaOn9xxsBVh5dS2F3xzx7lOlWiriXeZPOQQ68pTQhD78oudT7Y8t7v+g0ie4xUE
Dw/Pd0CKBCF4CEWPJrmwzDhNmq77NrZNttx5ma+nRZY1urJ6/7nso0+aXw9ggsH6h43KodQ8qg5i
iFlFUY32F5IpzWATAV/28S4GRuWkm+Jfz7dAw7vk//kANsxL5TnhHaWwR6BKA6wLBMORR/fvm8kp
qEOtBV/FWzONOaEkyNDmH+TsJBrWUoaGAYJe1HyEYyA0TIx4nf96NCyHhzNyj70ojg3dKbLGUq/X
HAhy1Z4YButogSktiRQfBC8djTdjAMfXMflOCYB72zH1vLgPSzGoL0OZ6Z05qmlVIFGfak7O74+3
Fh//OZ/1O2XxQl6sswpZR4/m81Q3YKqWG90Gbv18rcEDOs1H+FlsTSz1LEEvvfcCkg6jUCncOvGt
f/mTHEm9h/s6mQyu5/oaz+Qs2LDS2WUXgSgYeTYYy3nHpwrXE3OofNrPUGH5dnKikDg0Lixq4+53
449ukW4iEfBh8+0sgYmcdzfWCGuc1eJh73uPJJBy2H+BJkYLBLRHdJnoN5lZVC049hHDxHvvZaqB
5d8tNL5I5m5Gz4N9L0JOwA/OVjkBgbw/pMHr1+f7hFf5eOtAWPLYCz3zaAq3PMEYIDT4UYyOf5/J
yrN3Nu3Rg8iDxgXjT3AFc1V4NgdpEW0aN6oOpZ0Xd2Oc4rOhU0RpmmJaFeLggJEyhrxfIs6v3VWh
OpImkmDEliLMrktabT8wBO6alZAGZtr0csTl6EX1WYLn2Sd2pGThtJ6M+caAFPd1oY88nkZIbr0V
ogHT3YAa5nfGQgoDtiw4Oay7UF657Er5zi0MBz9aOW76Zm639MSLu4Qe/ikMVroEWdMD59X5RAuv
t4pvsCa8s1nFUImHpTWtDbxH/9Zmf35sEtKFNa8zAcKIu25vZ1V1O0GIvksdB3+6wDQIvTXA7R7y
IeyeCqORn8lQ7yiLouGALVa2o00w4/lNv0itMW9IjdXglri8VvW2n8IRwCbJsq8D8Veg5hE5Gj3e
W7dLhlMH5aeByy9uR2tTmNduT84RFn7dN8tf3C/J4A3rRInyDHdaCMLpnL5QAn+o/xn/rP9CRnq9
WDMhaCuzmHmUCi58/mOSfQ384+P4Uz3xvtRVaEdVvhVFjQutkKb48sH0e/VBv1wMp0wIWXh5hlzy
9QYVESzCmTysnvCZLuEIKfMWKwybvJ0yxwEYz7a1grh6TYsQm4n3r/1m5j8/JlwdWjYs4sfnkcHr
QrKgZPnUVhUHV6do0KyVjgXx7f0LPf/Sv7bh56d0bRviAaalbMjHh0hll7k9wpV5wrOOb8axdZBx
zYEnxROo8G8q/G5v0i4y8P0pPBIgnLFJi/2YYi6gih7aF2Q9cSmFDE8ro/W/sN921ElD0d+VJcWL
3Vclrre95V6bY1b9IrExOK+AZ69He7a/hhnn1JWFbTk5yHl86ZQh89jwSwF6k9OLs6YQYE2G81NW
kxqRtYPEbNwzH03VO+uF9/dBLXREwmNIdBlAGcS4OOzRxyWBZfidcvEgenIHPfhJ6iR7p86Kg1rU
Y2WFxYNjhGoz2DFNj1YagmyIGZOo99+Mp1e3V2/G12RNzQdBVMI2frShWHlU0j5I/Kd4oHEAnCbz
lQqQBeMmWiz9ZnRxdUDooIYV6u6Sbk9dHjAeDj+NjRgJSvZj43KxYvfgLLguYPIQfkPoW3lrmRuf
UoRZ57Mz7yundG7BQIvL2uClrQSNsXm99Iq2S1Z30dpvQv+GspHAaNSsv2aRpReO36R7fMi9A6rp
5rKE+96T4dgN3+ciGb6Ynp1fY9/NBiGUNe0cu4eF7sg0vp2KELVg0po8ANaG4WrsY1oAPjkcNELY
Ez+7nhGcp8nsfrVAtaMVTQdPfTDt9dgdj60LuoCjLqdZ/zjtl5Bp2mumHz21qetdGK2T3aESmzG2
aSvzwpq0v8X7r9N6TXxlViGd1qxb+EgOFLzj0FTLtAtZsnX+zJqM6CcDWTUan9k4A6jMdjQielZ6
L5ZPjUNiWhqr/jxNQ/PaGENn9/69PMcUvn58Sk2WT6KVfZi4x2RA6OBeF8RV9TNWNBg4t5PTXssl
GRFrINhvTTsH4SjrqCAxC6xwg/2Ad8A9kmCCYgrDNQ1PvCllLfz7FE25hn6B0CujI8BNpN2hdRzC
xoYkRkHtx0iOyHaeVt1s2US6NGaJM4IV1GusebxmbzAsuyzvjU/YxEFOB8owzgWpWlezmtjOMo8E
5nhi90bviuNWSZuXitIpsfUo2qKCUoL1xXak6XnnjRxNqUW6z72tKkwJCkeupA9dhplIu2gtQP2u
nDCtaLnCqMMDRNFX6kVRxGhe/ebThAQdM4W0EfBqcRi1TiCnTHJvitj+2ss6vceirP/lpnYK1DNm
WB69/3berj/MlBDSHNQ1Ajzf4HqOTSc0V1OOozj4wAr7u+w7LI+ZriGvjDOV/7R0Q4Q7mfF9HjNk
orMYm4+cAP82YQNNQWbrI3EFbOD1/gdTqiu7xS9+EudFnMTzCxELTqX4CYh+Zy5jeIvqbdjhRhxt
mzBSD0kgMVHFMti6/WBM/vLBBq7Gllk64FoeM3ax6pjGWuXZz9g3xedWWN2NXWAz4QPsnrEvDhcD
iQOnDWYgJ0T2WJ/6Cof8lV/06ir1kwBCcjWN56kxOL9gzrfeKmjT/PMHd/n6DKC/cXwMHZwMbTjT
HCqPhmwso7kMW3f4Cerdxl+oLDxcSWx3Xg2dOV4g3cjpKXWLCEhK9upfyWL6OFWTsTntHb/u7ryw
iM9NUkK+2NIltnJgF9jJTBYMd5z5a7el3fsy3/5bZ3E7N5hLPT6VabVJEbqlP/pX+lJAX6bZv5el
fkp/AGk9vrZ7f/lL//QnRVCB9pCXDYB2FGpv/gN5A/J7balpelD7/+VIFfzDChCzwuEFbEZtwV3g
YNAn//t/YPcuQg82M/i69vtE5fp//ter8rg7+vOfie7WawwAPrJjOTDLn3EAionjMpJ4CNW3RWed
VTQJWT5HYg/VQXpjSkvGrESJAftc1udZbiGESGl3nKhmRsq3gqnkPfopmWnWZjYzZ8SQBLO0GZGB
W6CpjjUIuYKAjDgeWwcs4/8Y6b9U+q+/d+4cE0U26JAvHtCVVej14hPQ0ykiucgzJzbVjZXQW/am
LDyHfWBeQNpnZ3r/giQiv6oJ9CUpt9CkA0QgnmHMXl/SSAtaaUMdnwkRnpP4YaCXHWmI7DNaVK2J
4sRoD5Y0m4dwQruG1Y47Qs0LxTBGOwo1jKMJW+bUtow+o1KJaFj2di/UVVClvrOFF6muoApat/g4
9wvO1VV9lnW6h4gxGs4ufOsSUq1sS4y81MDJMZ6wxjkzxKhuiCyEaYtz5WNfNTA1MvQvZJkgLo4x
GAIv3ExeZNkIc2mPrAVvpF2XfTcMeOEZMzGcqX0rLYdJAJbjPUoHI8HZNUK5XeD/XcgA8ePajzFE
3xISO8VbS9+5mcDX2rRJbN9alpGSd+kjJVx1MmsfOCcrzA4nbkPZaaC2tFeaB3uccnZZApCSS5WU
3BFST+cEaZ4W6LResqSr1rCtWxtTi+7MrqmaLsgkwIZS+LNo7m1ke8lpLzvmX0xuz9qg+TXeLLKy
bxGa2uprg9WU8Y2akpF7MZfGRV4hOWywOl2PMucvwYvl0gWsKYIpByIjt3Y2VuVacaLG0UJTg68I
4+sEZ51K22xPz0zNvPIeiWWN7oZZhHfjQFAd+y8OJ5s2FdeJGPhps2sZJNJIeQuCNn53n0y4Yh+w
yC1LqGq5gyNtqsNKUqJUp43y+nb5PC9oZdcjPQbrLCZqNjld9Cvx9eAgpMx5f41Tn4XQhy0sJ3vD
Xy+4IH5KSGG9NgITR6BM8fE6MeLzTYutBMo7csEKtLQWdymFP/mbeqQRClM03hRey9nMntR8K3q7
v8BVX/nrMovcDvhnqB9jgL5PM+y9OwO+xMU0NsUVKqP40abKP5AC6wZrej3+oyZSfKUohbZkLUzZ
ZOLsPRJwoF1tJ0Yc4QzhfjZkPrWF7xuiz2y7/tpOiYXbeKPPtBklCmR01qWQl2YP0LjrvNjAcasc
WsdaVrMbJKizMmYkQYOl4t2lEBumX3M2D80D/wiTkBRqdZOWpnWbUa5hfhIzRzr6w6AOGIvc0pvl
9RS50SJcjybeLT6dBX07v24eGBk+LiJ5+Cjzpp6iXWcS83lPvK26CVjiJaYVPgOc2g1u8Xlh1mce
9qYNXm8dgPiY1fkui2x1RcJGe8CKaVbnTkWzcOXXA1chkCtbVhZfW7hVCqX4GlCB8zqeAPUZYQe2
vM2XxTDuDOg/7XlvS0NS4IbcSTE7LL846s/hl9Q1y/wmGmFyq9KQ7ZqYeudkIbNoRAdQMpY4qjCW
ypw4m4ZhzEBQUEsE30Ghdi6rSnLatDDd1s8TGd4dL642Qr5jARiL2lu6/IqaHNbQyq3t23QAo10H
VpCIezj+g32ZRZCXaDtYef3DdyaLgNoA45dAJ1cB5cYZB88oltk3aUl6/Xjhx/2TA1Ew/ypZISyQ
kWjx5GVdVpUIVmBZET0WjIrl1sZXABtgptMpEcy88x5Wz0VG8p/6GsDLzH96fmUjwaOLHUfb0sSO
47Jk/1lwNRmyWJxEFaZkuJ3UGDueJLSJpPYyWIB109j8BiGzI1srDi4gNYX33jhE63qxPsPLU9Ma
d5Dhy1zPxjbvOyKaAW3XzoBjI0aL0caJImr6MgUDsxxr9jaJX3oHA5btdF67GdFKX2P4sd3ObTxR
kajQzAT7gtGeNHhh3XVeY6+d0oTFOZJUhCQJryF4hWkyqeBg5Xb8vegi/6eKnQitnqwu+0KcD5Ns
521OAvm1qP34m+eM1bZkk9rUVefcwG2qvlluUu7syow5jS8Y+Ji9L6/CGNcIv4FPRNQwAvO0iYsv
NmqfVWh2PZFgGAsbo1J4UcRI0MupuYQwVp577oifFS7V1yzrzbcsHBKoaMXVBKaW7em3ursWLYQm
pFXgPHX6GXlY8WUq3S7Gm7KqzuFxWqRgtgtRgGG+g/AG4NPiiAzm4LPsjU59y6bT3Fde2SSbbOmq
XZCa9ddEoAS32HowWRTeUEGaHzBDEApTi3QsN3Hkd79SpIybYnDdg71k8Q4fY/vCizvf3QBNVzC8
Z8qBTSft8aztynofFHheE6rh1Cd+ouxd7FnXWVQ3exMax0byjPcZlOCJXWoUJxXEw3E7Y9B50fZu
9DkETd8bsJd3Hml7ayMzlmA3zwKhDQfOMxbs+WBW1XyCfU94shBuRjS0lOvedod1iyfeAam5uB3T
cXkyzSI7C3FvOpOVxCDg/Qrl9eFC1yeaBWGCVji4s78pifALdXGo6N1TSRDHSNNGh5kxbVnnKmA8
umWCv7U2So4hkKQzPtL3b+BNNaljiPg/i9UwBDY5Ot20dUkwRUEIlupxO6LnQPbm5LALuoakWWHC
zoCO8pGCTJdd/8Iq9GMD+3poFwWlNh0BXbb9QW5Ank+rafLC07ZgGU/dlJWpgXURfAC5vsaWX65D
90ZQrzO65nELfMQ6e+hC7I3cXJc4kAjYNCrVPHgqYsV6fyj/djEf0jLDaenT9dFQWiwimESL8JQu
G4ZfdeKekBVZrA245tv3L/W2kg5MjHFDDgPmX/qsLTqmxlCmOHXIaryoIDnuvSkkBTiACd75hBL+
x9eDPWlbTBOTAIFjjB5Yh3WjKD0CgZPo7mUPrBItdoGaSznUpTPD+/41384RGCkej6m53PabRlFd
ua2JfaQ4xZhP65YMB09M2pf/H1dBLhIKTvmwSI5eWhHZqAfSTpwSAAutEzPjvR98KGX927NwoAzg
uxBTgQ/M6/kuesduPTjdpyHd8Y3AbAvPMTwk33+Wv8wKECbHxBWNZeVNJyWHeZoSHOed2pgt7smr
5J1oEYTazlFvXfSNGpcPjnRvlw/WdD5mHguSFZd9/WCoddD9FsI9NepI3FtE8eLmAecTb44aTiUx
rTbE7uXDFsfbbw1Sg/aM5mlxPjiekACPKVYDnn2aa15eBMHjrMeoc7NkhP+8P6p/eUQmhy84xOGn
L47XKr+YJJcq7dNnV/O5tOqzpeubh8JlwjybHCk9a96/6N+eT7A5ABR6hJoc96lGkwjJBOT0tBAt
DPXSdU4KM0j2HHQ+/NCemUevV2M4Oj6SdiBKaDrHLdkahC8w+ZxPF9nhfphZpYc00TeLmwYVyAVd
kgRa7kyZrCbqOprCc3cxtqOKdq7RuRwuUGAR6tg9WUnnUHUuVZFcBbkg9+D9YXk7w2m7Ohpyd2zI
HccQf5V6E6B0xAwvoVit0yhtHnTmZrfCIZiploWU9e9f8kh0rPcQwFe+KnbHEL3/ccsmLsBL0Icx
xWFEyi0+OpwfeqX6p0Ba7Fikmur5nqXWRQte+TCOHtFFThqqm7az22Lf0uvRee5Tuu9nC5nc+zf4
tzFhpWSuwHU0zePOlkkiwUIqpXdaLgFFt+ll3xBvOqddQfLFamrNj2CcN3OT9or+GoBymKLIz15/
8y0Z7hT983JKwKX72JGVgQdQWzFNVcNp/P2n+9vFwI2gzoHgsh0cXSygF2jGbTifKoKhrrIqD8/N
LuCU45kNp6T3L/ZmmdaNo2dVO51hlrOjsqTMDatBBDOfisjjYEkTlJnFh8gp8f0L2a8bR0wqiK2Q
WNgReDjISvpO/iiACrTNCs+1iQ1ckueB8o8DrxF0ff4lIiW8O2vwtJZbNyYoIcESWXEi8R2ciaEd
nKi6VTeouMAJDMhxzrqj1few+FIeTGicDwiuHGdnFhr9mFoChPcTbc2rvoLx/1FH4e37gaQcegCm
oaY2HjNkUmQdDUrr7tReZsR61QC/aErSfWzO/3HRg+EGcwA7GxtIzzle8/vYtHu03fIUWoBzEtgo
dbRTM6FqxDCfuRWGMh+UIHr3+mNhdNnWsBnk0/cxPMDZ5ugtVQvd+VZ67qlolftTCHs8lW4U3j0D
IihUQXXapSBKXSn7g5XOPp4isIGgOQmBipq+NZWQ83qKuAWacvjs2alFf4x4DDMLRN7tZ9o1Dsx1
bE+/CyvP3c1Yd1Z3AWmWL9Ahj+Fg9zMtVtvO5hsTklS5WXKN17SSbsTKHST/vPjMI1mKLtsP/P6V
388GVvL1lHoEX6ExAbgMnPray9DCST29YJ1QPWD4YDWnI7H1eOWKjgzrSQGNdVEO7gfbhY0+bcfY
3wT4TsH8M41cbsgSL68n0IYLKXpjr9xUXNWzZSz7Gh3LChS7QgHq47l9DixtVtjtekOIalXi34xa
CnOuolkm5NstxMxqSU+nILXW7lh4KJ0GK2lxWR7a1MNZHL7DVD86S1bRBixIGcAIrbEK62nCcgtQ
3Mj4XkLVaDB0jvPkaqQfGW99ItTrE1EDUe7hh0TJgbYOh5KqXfi3S+v/Lj7HPAJ5CQtd17QN31pS
Fd78C7Q8ndY5eekc3InkDPMTgtnVTaPI4Ltyyrqoz7H9HfvrzkGCjf+gz9ddW2WT32Adxn4hh95q
d7AZ1U1Oi/c8FqLOb/zG6p4UIugFhDfzlp84rQ3uJ9nipYzrW8FrVmbKX+TRvUdv4nY/N1bohtvc
ztzzkdFE49dgZL5L8x66icAiptyAg4Bc4dIDEB6Us0A87ET8In6DkfV9mZzqBN+EwfisalgJ6zbX
4u7QrFwgnKRAI3tJ383rb6zUSDr8jHOAV46LZCJbs491Hw6T7sk4SrxsN0OPX9PSVM1EdCZLuLfE
zKCKdHixsn1E7efuGFnTCTLjImJftcb0AsdYMC0MC7plr1Cr2xhgh6CM8WAqCWHHk8UeqwYmWJUE
wr4wUsne8FwHgNkz+5YYQvEBOwlwM0w6nPkM2RYqV9C2Wv0K+yXCsmJUVy8QnFcM3IwDc+HWzWzv
McVrMdp2Qzfh8P/8WWG/qM3y+GbgZWXBozaPk4Dzs3VrKfTrB9BesHm7d1nGpfCYRW0gOBglhce4
2p3GzJ1MUylShAQ7lYLDv7RmIJY+Rp6jC4nYpbYLat99LK1MI7ESeH71nH6mLBME/nn788UAyJiA
XfnnHq6iONqROJLt0IWa3VmJYmbZl41Bp6GYXQbWRYPm7LLQjtPrrmq5EQu/f7lrcEu5qRAbqW+D
8h1jBOjx8vwmQDQ/fPJUYd2KLKvc9SCjdP4ZGHQytlnQ2u71jBJTbJKZ2hgxOiTDkv2YNgABvxiS
67ni0s3Bt97tHf8rhXneEzUpe61dL4ggJ7A3ipYSFwWj8PCQkh1o/VwASu5A0JYARCBzI8zATQXU
BkLea4frZaAv/rLj/3ef9IM+KWsAO/m/b5P+XzaBunptSPf8V/5pSGeG/2BD9BzYnJCqXL07/Xbu
tSwCHkl3NBG927REBVXUb+texyfEkb+FLh9SOv+Ge/jdJHVwpLMDUA02dk7jVvCf9Egh873euUEN
NCdb+/bS/nOptV5vnmTydp3KgXittMG3ABrzhFYWebwnavOsbsaAUNSs9ftl2Od2iZH01x7GngXr
tim7W7t0eyBoLWEiwZRefTNla3+s2ib4nKLb7zB3HzLyhod1Mym32rnOROlLStp8yAywimQNr9Uu
xxNJGwERwWrph6pvPlXFnLHPjinUVRxYq3OP/eQU4s1onmSpoKfn4vuL9Q5LpCHuMc0d91M9+jH+
muEm9LLmPNM64RLWp7XycAi/TYhKrdbYD0/a7H7SS4gcw+0EKXvaFHIhc1EUbCtLPnqPZmPzXcIT
HT+lZsIHbSeaxQVRmaIgpC9b7Cs1Fns030Ww8cI6PRFljKNliFQSN5rZJM/OIAMYEcTc73uZE2Vt
aJ1oUrr5oYE9u8sW6SN9xPZgoBeRRYqU5mi8tL2oesAgw7qZBFYDexie/SbpOgg/ccPhco2dx4KS
o8R3xGvHe1oa81201EhRZdw2irIXiQZEWY8HdbHat+8RxbbnE4a9+87GGd618nEr4qa1kD/L8wlv
LaIAXH/aUjByaEvzCWd5fC/uwoxGD/y1sNsjwGn7XdIR2rAameobAwmUed2KfGuTYFZipV9E9D49
Rccr632ib7OMxjVJyj6AtyvrjTm4MIbFWB7aOko2OBQOwc6epgnr+6xel7E9Yllk91itYmraeGst
TPvlR6n5uHgWGWgeX+NOZyNu2WNnVv8wtHehLL39UKvms1XJ5AzvgOIe+yOxikx43esG+5pDMSax
ubGlf1mWs4S9yL4lcXsBTUV5w6Rhdxq3cPHa3UyvZIsqOLwkaqohlFBiQdC68WkCycdf1U6Z4+zg
eDR+yFB5MjOjPukJST7pS7/coDKJvvE1SBjY6Na/4+9FpPbc9WO+j/vWvo2KdDiZJBnVdgH1lGjg
qPscuOMPExeVzTgjqYlwmyhJTprTEzhZDqHEMWZA61gEZBgIqNMEX5HqA+BNlk5C7DYRzpZFs9Gm
OU28nbPpovbWo3l90cJ8/170JZlEbTzfkepTHqKFXD1KDzMkeckgKpl9prtkv68uWi/LSNasMyJp
MAuK1l6Xa6l0VH8RcUsIERaoJ1WYxl9hVnDWCvqouMldOj/0EIie6UtE9gHz0I/IIfLc3LzG0GBY
z9hGhDuQSntiZcH84IyeUUZ3sG8upc5b6YRZ/KysfCbgpKvXKmmz1ajmcFVF/Y8MX5qNM0/T2gtS
7IBIdEDWZD+ibv3qFRLL/jyGkhqOti/zTQuPMC6mVdMmzSCupo4kAi5LHtgAgeN5rf/vXfGDXRFX
TI6A/35XxHSl+vmjT38M/Z+ko5e/9ntnxHVV721UlSAIbGkW298/Pe0dsu7Azf6LCvQHfcj+B3wi
LLvABbgJ/uG/dkbX/AftJYHFo/eyo1r/ydYIqPd6a3QD1IfY4yP0JPbhLV7kkZIRIukZD3UVW5it
pcU2QQmPLra/n0X+/f+xd2ZbkRtp176VvgF5aR5ONeQEJJBQFHCiVVCFhtAUmqWr/x9Rdrdd/+r+
us994uVuMySZUihiv3s/28XRDeYdCDDeFi+gTrHz53kRJ1cTTaD27qM7uuIEdEbczENxPQLuZrW3
z7ps2d6pSsVEnvt6GUzupIEKGJP5aSgTNn8pDJ9d4ylAsogTMUzX7xsIWiGPIsgblHRHmnRmP9H4
nQrR/SDHnR+oqlRDeIzPY+E9DtCFOHrVJFOt/M1WGhWcFl8uNOjqPCkBH4/tM3NvSMvWaPif1OQy
dp5I4VxyQ3sbW349efrnos4+cJ9TvFo72GRs/V6DOEQ2nb/HbuY+Ulv5bEMJZLpO7e2k8OdVCe73
uazgTivOsW3dY0I9fRR3vDWjF0dJX5LEycUHgbfZt23eStADXahKfmgx8hawx//Cn8DboLrHMoPu
HLd8Fb0dhL0bU6HSR6ftHNjEIecAvKuLhBp5afNfhXk/uaDut+9kf0xPjTdQrqrblZ8svAVNQT+B
1WvrfVIX995SjBH1VnwmhJWpo+JoShOMHg2SF2TQtkUhTvJFdB5UcWdwQ6+uPpZK1hh9Wz2gyUuE
QJlYfPEvvseFQk996z16qtpHRlVARsJww2MfNpbZu+528taDFgX2MXZjQT+zHfOQKtZdwwH3MLm8
e0bHL50s5+hqyuPnRZJJVKPFlF3YOFwH2mLclyN9BK3qPU6uNgZYC8aA8pb7MeNFJbkwj4bSejsN
oEVYJyU1RB4t82OzXUU9X8sO85x1Ggtm3ekRjX05Vmh75m3iwmIzBgzSss5czx+c0pmysyn1iyl7
g0LKZ7/yv3LcI1C/0EOm3oUuCQeENi3epU5jZKM7zXqD6OoFsA6ePz/vMnGxKxdcVv3E3wujytvI
D3z0UgLwt93ipGrJBzc5V7XN17opV6frcKnU273AI2j5UqT8TzSSN0PjhXDnuf7YgJYbeLvYwzwu
K5/8hHHAd8C9o4CU600KtBwIZvfsgOll7s4nTEHVhnK3z59vRtVwU0wKX9qI8q2kXTuKEVpOHP0s
LEVctIWgvWKpPO1SdnkTYFrN/Ylq8sCANbODzqVHUMHVsGxN3lKVvogpSbsrt1PmfcLE8JoOhIyu
11WPhMNNuUzGdTZRzoQSyFXGbI08UiVuXJ0b1VBZCNwxLSKocUXEMfSD4sDsfkwt/H/bBQLX66Bq
gx7NdDeGAzs+n5ooCqlgioQmiI1TkqoAzlVDbBQfbkOB5fzzs8VxvgEtqmt7jLclhEugaqQXGBPv
zedVvjpi3QF18fYdR238AoW3Y2NYhBC0muDzAtiucG7x+8xcq72xsIx5I/e3uW6FE9vH3A8cefuW
y2gWeh+NuRZ/A1KrHKyUPxV+BCmsQVMOsWewelnZW7bwL5MmPug2I7RGR22ESJsFpUFJhV5p8Wkr
g7h2qDc7W7O1d6f8Da7YQlxmqq5joYuILgpcw6tK257FfVqzabxeKIbbOTYXGRUl1bXSUbuwQpNj
7S2h4bE44Ovys9ncAzDosA7M/DBtGgOzM+zA6VUjBG7T+VKnqmKymUp+0uhnrFhUlVtGpADsxjuI
Iy2e+Og+yUvxoN+nSOggSqpl3zDVjPCgjgFV58SbR14CUFDuIshWhxKb/aF0Clwg29qke7Mefd60
Y2aPgZIoj/zs9M5quSSQWO91XGF7iNGub/X19tih2AHHSsMeKuPzqws1JGBSXc+2OZ8HR3xwXOWt
WbgDPt9rLLgiFCU/ctD4XKmKEpE5912oEEz3getCJCqU+A67JdvZmrmMG8sP6fB/l0MO25Kdb5Kx
nphKkSFDtO8uqc2oAnkc1NJ5KmuzjoSC0DUNZ2eLpxl0rp+WbGb8Qf9HodF5Ta0BMWOI/NWsUDe8
FuursIqSWkPMwXbkuRqNZOva5m96Xs+hBiOVznRVf7QSUYQEp5v8ZgHISLGUykdoqHES+xRY0VGX
q+wd0zrr79CJgDJAPS0SemU7UJrBIno1Yl/ZdtFqpg29WlIqpyYevil9XX/vvPHdxKtD1YMxiw9X
GgosdQA0a0ekcZ4OfdXWO68UAO+g+UojoOqNez43RyVMeBRhUnXjG3BVq7JjrDR1Z6Hjv2fPbHbl
ARBZrzzDgRyDdKCm5jpOPQNYDSqeHchFyOxsjXB2o4TOZ+VS0blxSh378U9bsbufsvyfjdG/ivXs
azDDcEgnQAHJ4teRaeEpOu0n7XBwsmXZE3z5AB/rsgS5j6AfYYf23HVm9n9yRn6Zv237KfqqwXMy
Dds4Er9MqLzF1MGCNcNBmz4XO+5BIxPfqwlTP9T0j//8V/4yb/n520gk2Dpk7M0c8VdhAzVawelX
DYdi4QLZdgKeiJUoUSg1//sQUPVZv/wfhwBCgtu18+9PAVuz1c2POXuv/3wI+P3b/qmPGZvUxdSG
Fd1mwMdV84c+tklnFiEBdOufAYO/6mM0MmzxQHInxrZ3/7M+tmE8ULUcVd+SO7+EBv5TiMD65RCg
EigCCoVPBPgJK6P5y2UkcxPuMqTK61anlPObWcO/QaxxejNSqaWml8aYtu7hQ4YXrFSOtZ42VhtA
QqgODInUPY705XtrJANHbhVJY4ZFttL+aTs/ZFs4ITBmu13loeoTpla4dotpMR/Ikq3ugCtl0PWG
JLNTtejqS0JmIsJIm6ferQpS07kf62EDDDZ23zbLg1G10DfsaezVF1TiDQm7YipGak9rtQLw4CoT
XGZH4XRfWtSD+ux4xZyyFfiU7FLdWWsUPCBB6HnaT3Ev/1T6OhYULXKhsBTq1+ynIAiXc5MHO5V9
/lXG9G2IVlW+p0rX7hzZLHeWXlRYuQkE8a32oqyvDWW42U/Qwd+n8P/jBkQdZlz+7++/8EfxbfrW
/vjz3ffze/44glto0/iRVGyGnMOJ5Pzz5qNWDhQNh2ncI9yUmwD9hzbt/cZHzfGcvgHO6MZ2bv/j
3nOpWKGenhuZyT0+QuN/ufegUP1yAt8AKRpzHcb/nOwJ1f91DRc5hxJt9eRhsZf0GRm0akK7MZBL
GReiEjlt2e8audwVNczUoEg51aiOB91YJVNJyRyHPmPVnuOM4kS/qgR9l546/Zh7W9m213ngxobg
2NffVXhWfDTo1087p4FQtqsSVM/FUImYzJ5NPajpZIeYQ9FD3rPjxNiynovc6pG0Bg5uDjxyc2PX
tCfyp8zzanbXCk2Lfp+20scq0l7NEFXByxr4EWYr30+8OMZdrd0cnTWLj3C6+0vlJbhcu+w1d6Ty
nBUlG0BZ0dEuZ6rQmE5FzaYQNG7X3K4zT+ly7u5H+l/xzfFHAsX1wbre87ClCIwe4pCQhUJjcNVT
ui0+mtbIJl/1eoiaKtqFRfn6Tpc9xOWV356O+r1tzCpZl/6mJ2vqswLdZ5r7GI/DjQY41k+JKU9y
1a5ndmH0l9J2qrvT9g+6F5by2nSbZ5hc8IG1fj5xgHnlhHu0Zc3gzDDuaaB9lRaHL6euH4DOry90
kahhA8EhhGwxUMPNqQqyXMAl+DjTXhk7iLkitreXAMTe4kd7cjb2gETVW0Moyg51tcao7RVPFEqZ
T9pscCjZjt646I0dBJ4ZKR84RaqWH93a3OE0WcHXK6ceo/232tTaxwbdnrR7zNTbaIpo4hx2V0zQ
s93VRbPs5e0C0/DZFO6j3WX1vp6xDmrdkkC6FA4xC09juGm7EfOAL8XaKJj4jelLYsbJyaRDxuGM
0JX3uhcP74oq2ypwpGrc93phnMtM0nE7wfNHHUjlGuEjezAUjVQRXuo01Gvj0hU9MqkbVyGsC7CN
3Dl+Dlufyaky0mQwSw/7utEwUG80jR36Qt0dTza/d0e7PuvaPFxBoOlhHbeK9cXBMXFllrb6avKH
h93Sc9LKcj1DRhZ1vdPcNm59A8LtFahuqz/WGKaYo+T98qFU1qrs3ZZ67Y/Fc6abQm8JuyfwAjmC
ZQbzIPLETZlrD3/vtP6rnZaGb+g/rfQ3yF81fpQ/r/SU/Gzf9PtS77KX2mLVeLzxJ7Oa/77J8ljn
UQ9/pi3/WOJRUll36crTnc9V/M9LvL1t13SVnTUJX46w/1MhlvVrcygik8MeDYztNurElrcdVv7k
72o1G6aFTAiEWSrVvQTRbegNDMP0hUmROb6oSemQ37LqS9Ys1XmdPMWXLjmooELUizT0ANZjsS5R
q8/iNqWnUsCkZOn3nHY/e5lx6hEa/HLMGhla7uwiJsUehLOY3B0FGVZ6NUJ7ulYTONJ+rRfXlKSI
O4hF7r5UvXQfO7GzN6n/7qlLV+KwG4T9CWU7CtOwb4ZuicN17VKFMA22H79k7bhy5np6FWTHRTiT
FgqMdBj3uaL3h7Gq40stTRP+mjLNx0F9E2KtvzmicG9WYcQbFNVFSjEx1EyjPTPwmu3bCT4xVhzb
K1Qo3bV6pPjUPIhWV96nupUfMCm8WyDALsV6ZQvbQI8lomOj3QHdGvY9BN6L2ZnTKRc81P1F5EsZ
GLn+I6cYDwGG+FZDr4D0FVJx5wR+7lXXrMp7ZScbogQd+ayssjoumXwevZki7mlLikER+kIrSv/A
3HMufVqi27ctgvfcguT2gsEi/m3bST74SOe4P90Kfy4uK1qgsvaYWp5wAixf7TeJvWgIdHP6Sq8N
/cZDVbwVQEQP3kofmkZv5fuqoqJnantLFbV1Em3fnOC8rldNXIyMkZ1u58ygVcPWzhZaBZZBb/k8
E/HsZR76Iu/SwE8rlW6nd0ZxtWhOHLTU8PCHzszCCKMOjMGRqHJLTfezjItHRlbpV9Fn1DZP8PN0
f5nrGt6elWsh9loVQIpuCDJXXHtH2ZrDzWB6iAVDjfAGGIpwbEo9JFuMRe2CqavSsFgNDZMHasIH
6+3QBg1Pq4xxHx6eJk+ru4woIU/7xblO2noNrXUZfL11y5umV/JrXTHouBW0HCjUsi/O4lu02z7F
DvK27w2J+SbhRjS+aCx77xQtX0VC7rA2K3af0TGTsHYr0LSl5d0n8ZIGk6tETVoiSSxjaLfWOStQ
QSrHEEe1xasz5TDKwrEbFmrF0/lqXXu7wybTV1+8Oo+fldJOlFMsgW5GHn3X3+WkdhTKqtNwGSHZ
x/QLCO2l94q4ChLKGu61oZKvLc6wwGsm7ZtojZYn2NIvl45glnswDTF1fut6NXnEhfl/acymH/cg
J/0h1ownA1TxlSSe+zbYSF2+hosmCQDJF4cmqVx2TqpzAzdlUY9o197jyiNNCZbciUvfTCF2hKCq
652bVuU3fFDelzYz3xR12naXrXGjDfbyw2paerTBbNcVJQBx9Zwn0MYCPA6Mtit4NC+9Y8J2W5y8
Obpx3YelMg4lyBDLu071mYqQvr3H90yNq8y4n1vVksHitmbkYtIDjODYhKVRa2ezyTbJlsPT1MuT
qDXnZKlsGFYjzV3eBzPf18PAikb1hBMoXqPux8LMLvqoWPs6U8UcKl4fm5HptOqLLlIPcYvFdNRV
uuFhGmf53gGjeUwWQ56FGWMG9Gqjv7SMU3ljnTL/KrJcLr7UemNiMYuHY5zMlRtwXmxeRwoA2oOJ
6/YgVUJCvqUu3a1JK8p7bTlUG3daPt4tclFYXNbU82sl91qfMutxp7ipfLWnZfohwcO+LGal3Rhd
Fpfgtijy9Q2LYoXAiw15my5eLEL2XciO6RSTblSQNjW1eaCptgld4U1XLcV/RG6FDO3KOZlYK8Kx
qpjhgBSjhpg9dC5YNmvNlGjf5WNC9e6+ayfclhi1R7LbBOwIcS5VwLbHjkjOrN9XApZlNGq2DKlC
LiO1ZhfMgM6lDFbVinG4MgtpV5D+2qnJvq5KUlSHxTEroT67i7CF7qetoTEWHIaly29pGuOA7eX2
rZYTcKWBor3YZaFeaOtO7lgWZ6IzYj1SsftkmVV1kQw6LwjCsU5VSR4/TYTcnpneUChY0YJ8SjFg
Prk0cLFITdxWbtZUd7SmlHdIIHLXJSUdaJkw8baWHbM9Zgy51SYs2zztmMItTEd0b9hJ15F5aHRl
ec49lZdrC2WHxyLljcG2yq3u6aavtZ19TX7a5njR6zeWVcXkbtc+fjDd1sZ9I6bHZFAwCaZjnP4w
VmW5rRQEjn2vyBpn6hKfvbppHhiKOMeEP/ydho6VUoDW2oNkGHZzLNF7zXxmIiGV9ZCA29/l5qL7
s9YPEczogYiqxXo0ZNp6pferc0yzFIfIlN/JYiDzKnXjNgbUbbLIivgyrZye7Fy/aec6qYNqNR3u
taG+S4g177f385EqBu3aw3NzYLlwAGy3yq0Q42hEuj5Z94W3pt/jnvR3NisYZ1okdX6P2i+nZXWW
e120095bPO84akP31MZ1eTdqtGBxP3E4ZIrDdrlxPFjtU0ICdqWaLOzzChjeYHjyfmKmk/ng87yA
wLUWURekHnJZmLcDrMgbzg/zsePBiI9Rn86V576rdea9a52h1xg8LElrUpG+qjQYH7taaUBXpcwA
spGlhssv5SFNoa8VoLs6u2zMxV3ssQVpGIKFotfsF6D87q2+VNx523zAJwanw1Cn+WSN2lbX64dq
8Z4JvRM8HlPGwgRM5aBB0ndp6SBB671kSiwe8J538s7mhNodUOgkOj20c4t0vSbVa93uM55jHiMn
6S99ykiCBz/vPCf05aGVSTgDvV52nGEcBty2E4AgZwCaJ9M9h+E6vwJ/jlQ+9Er6bDWGlX0DHFNV
Afl21YraaW0TDoP2LFf7RtPmeez3NVR0dThxyeqtOOE+Q3P7JuP1hW3v/FUIpXrPx1l/8vrBedSY
r58gCDzKygGWZMjyyMm9CZxhxClczxe7oGc7HmAcpd/y3n5xhml4Q9xjB2G2Fg4ba3hxPCU/MKoo
7qTGWdEslWs+HJy4LeevCj/0h8FMfSuXkoI+dWm4BIOHrDhQiNbfGxbj4mAYzBS4aOslyaNrD21U
rvp6nzJAIz5dTzS9+H+fnv6b0xO9kQhH/0Em+x2P84/64x9BXQzlW/YXP+fP7/9DMrN/Y5pAxAZM
yqdp5V9HKcf5jbgFN68KVvdTNfuXZub+Ru6PWBRJPGIzjo3K/S/NDDMn9OcttUN+k//0P+jV28ns
L0kMXAUEMMhC6FhNbci3fz1PLVolQJbN6oEiNgx1HySQbueFx6LrhtUEITRTT50aR8gQz5pAFzK6
n+OQv3B4/jxe2pxA/99LYLgEfIe/Wd8cqn850tXk9BrXTdRDzR7vHJvPi9dcd6OIqnKXCB2UIs+A
0GOnxooV3zRNwvZEN6to0l9MrBFryjxaSW7UVfGz2t31Ho1cQDrkZnUzLVAxDTjkMWGL37ybHDqo
sfLBpvBYf82xMmz/urCvAcH5pVspsyg7v1OixfIOZt1zGyeC55s6kqZf1Z5Zn9J2hhGqAp+aUT0t
LlV3XBOHGXhDaSQ+efSrBGQACPIV6ieYVLdg4XUVHo3sz4ze6KJOXJvKcI9uM0Rzlfg6G7J723vR
DCXqEvreO14BK6RPYCwwWfVK6flqStl7zb5lLoN2EJdZwdEqpzYSHduRvnlF7VP3WTHcAQC4wuHz
tiZDwPk2kPZU7GnVcP2pp53eqKr3cjbVvaA501/U6b1in58Q6b6uusliK9MEjd3xy1biDcZtUubJ
3/7wH//N4qL9DMv/+9Vl/6Nuk78uKL9/zx/KjPrbpnAjzXxOq8yNrfy7OONav9mUj6O2kKq1aYTg
P/2hwrPu/LGCqHSUb4FbRBQC2qCd/ocFhLXn19t3mwPww1QbPzhtq/yiPysynl5XHGfc4kDzwMtE
s7jfd6KOGCY/47R+aEflUKmDfHZL7RlPprYbnGXHcP3UL44brYrUj8ZULseOHdVWym0dvUEUe9YC
PMaKrIJ+9NqPJR7tsE4dXBpup16zpW5emQaoFwUu6h58xxAalKIFjZtlO9qV5mhInAuavns3rRlC
cV9ewS6f+GmcZgwqcKJO0fWQgpz2pPbtVgdzC74fv3Fv9n5ezEdSNuu9BfImrKEFBdoyDY/EZUSQ
LDOnDWQSWA7a/bQa1r7rk6+2yYYNd3KxJ7aR3vTkh65yg9ekqlV2h/OujSxgP3cIW+B+i6dhhnRn
4H5eJLzI0hm/1QMUotEYp7A1m/ktQ9on+2WuDANWmuA4VOytblKj1myd/VQtKARmMUeo5N/pSTN2
5qDHYSbs7Yw2fNOJqAc09J1yT5Q7NOMJuAiB6rWn4hNqBcV6TnUpZbfrP3GJym285NQ5KnI+NIYH
AsSptYvX6MVzP1rNVzT4Xelt266+vAgEOtCGbjv4uesIEXBIvGkbI5ki3R3VQFZSPA9rnd0LA16D
0QE+NwwKY/wmGdsHaSjxA5N468oUbJd9pbTABvW2xOLQZOe2LqZnqKPdd3hx3tNcGvQX1fVA1Kl2
CG6OXhl1E5Y1gsHuvTNBK69IZUK41Efr0Btu8+JkOQb33BmLpwpQ1ZVVpN4erKh2NitAgj6nLNKn
idq0147U3RCiqcab5+lof+kgOcrrTcVcJY4ZCjEMPXHwYJogqbCQflYItvxaXWbYwer6amHyhjHd
yV8dDtmwfmNKGSw9i59yvagfXEJg0Vxm9QOMIO1s2FuscgO0Eb3NXxtKWoCToUwmrLartitz8KAY
iea7BfjceegFjz6UmjliD71twQEYGf20ZXUp9QxbSdKJ2UDxtGSL+tYOZOoUwxjyIIHzd0AU4mtS
Qlm8gUqAS3pLJIDbeBxrqwJPwo909AFoJRrecqcnXJrWgEnxYHUjfzz8ruXiYD/N/JJOvwvVV6Aw
eGqLwFj4HBq34AcyukkliY6sipaxXMK5L8nwcf/tM1DzDkZXDFYxbSRgpdK+eGq0KjsvmDe/c9Qb
99pgND9oRp3v4gFE7ucry+O8cXcjbch0LUGnvU9WNNPMai2KvOLUvTdnrkFT6cuPokzNU2VVw2OX
m1NQ2yBpqIDiD++NcrksGMe/OHPJFxab894af5Za1Eukeh0662Tmr59XGuM5ftuaeKQvyPLB/gf6
HZFkr2+nZmMtp0iTgbXK4sn0Jv3rVCkZJPDSdO7Z65vHGu31os20QbQtYyc9GYDeke9k1RvM6oRh
kE9Nx/i1K6ay/947aXau1Nq+dTV7uZIw6S4xedTLJKnQSbkiAV56Vvzq6YwE2eOjaFXxzA8aXX6j
s2xhtCRVHqhAHferndcPklD3vmb4E31+WuVU1g9UkRCD60SMJqH1oxvUbO9wupnWtQbBKMYeyZk+
tJNNMNsqoJxi5qpf+UfmkhwgMBLoss6CLl/PaJIwCpa7QekeR0kIZrTq1ypz/QT1OvDcG70fbtUp
uUtp8PUL6l+pJvywJu+KYhEQuQrzVt25zJ2xM8Z039vrU4KCEKLnu9dIvyx0MaYF/Fx6s0C91av6
0vMcQ9Q06mGvZZp9MZv8CyKSdrYBXtGB5yahTfIh0BxidVm5nAE7h9NMX2hcn4zKie+0XplvtVnP
d26dLFgxXTvdkwTF0+mNZrRg4/SdBiTEODIG7F0h01Bpte9VMgej1H/IChKG5Hh6la9bC5tegrrV
rfdW6w+Va90T5yoCMjvGrc4M8UVJ9GcKTt+pSClRsrtyh4rY++VSjZFSGjCCOzDVyLT6yE7Lrh8G
PCt0UuXr93K0AlBqMKjXtNs1/fxQ5UNz8hyxN6i6pkBx5QPObG03yyH282kR18LWvtgIpLhj5VHM
S3lUiV8fiK3iRXaHhj2mAHPkDacmWemaresXSbjGn6uaaLBQnVPLhb/PF1sNrTF+UbVSwkYCa6wt
H8bSXJrMdX5kOgNtE/DBq2MrFFwI8dhrXf5tWRQqK/MRWduQbqAOsK3izutPphebyIrrynpgjMUh
ydGyKcxWzWDF+ubFD7LsvqdLH5PPcZczGfSpiQzkkB7kvq4ik6wtMueoV9e1Zp8L1vx7LiviPHas
3UHqNjkEUPsDGY8DtqhEE5odgctO05sfHTnWCE3pCLRToLU032Cn6KF0KTvNtfFZpfMtUGue9h4Q
mT2+wncydi8yNfbqIuMvk9agNxpi9C1jEiRILOWmNa0v8VJRscxtyDy1Sp4pC+wC4GNhzwDsGh85
uENPuN+pRRovjpVpXwQDUfYQGCSCzrSX00RdjIXaGruUwo75l9wZCGt3ZvkD4Fn+o8ffdyKkhGyc
dDGUQmXc8UyfdqLje5PSiLAFqmcwlvU9PNMZI6FkZ2Uolj81rXtuxmZ6ragqfZ10zTjbvVmDAy0X
nznHGhbcRazkfTZsUgoScyxK19t4z8n1OPdCO3V6rM0+XGKSBx7qm5vIUuWWSJ6AXCq3tta6gTD0
WfIhMgqK20SJRuo2rh2rNbliKjyUtbQa3TfXicfgPNTnmszEybRKhvPSKrH1y/iJaG9/gX+Z5dFK
dRHqh1cp5z5xrSM7BbHX1FpG2UxIjLl6bUZpO39U+KZvNQpRvkxtNh2a1JFfqUilQ5a1MAQVyXzC
mfCmopEHqrMeRckurBxH5aTWLGCNpstDHQMabto+D/J4iXc1bgVeViFBfBZvTscpqWvj6VbYinrT
xlWLM7Nu91LHLjJMIg7YM9zMNdWNirJP9MQOCnd9ydu2bsKcbkB82bLFzCA0YHZdsStNtQ/qVph7
mqpvZmDt+xZipK8PeA2sohvvVsEeT4Ab4Mk1urfLJIsHmXfTgUZ05QU/85m0RvdjcjI2IPbS7zya
OXdDEcMXNCQ4yzbLwqFducXhb/jUgFx4gta3NBgOFAgPi9+RFnsymnkPFTIJOwPEpm045znTCR+4
br5fKm0PSKULCo38/FgnPwDbE9HjkTdScBiNWc5JlUrfUzZqzKvyLj5imr/OEnkxY8sKndjNAZfa
81WcuxSohjkNpho1uuvFE6yu2pUzYM8eo3xL0DV7JlJ5ck9TkcTIQCI88fmDTTKLnqIkPBISqUKR
hVHC2JFA/kJMkf3vem2xVRHIf6WwYMvlI32PDTq3RTtOzphiHGjeKG3q2amoHCluTAVeE9O3jbjW
DzwNv86leU+WbdyVDISDxBymB4Zha6Qta3dOcqvGCWSZN721PsvVyKK1sS+ZxzwoX3v8Ll6lhwV5
0VvpNNZbN9dLkOvV+qZ1Wn8zlZBZM2380SaLHk2WPt64KMYh1inzZM6cfggBdncemL7rybHlJWGr
ElE2YoSL4rwCOd9qTof829QnS5AprUm0JCawrWRQU3LqMoXsqoCY6xzEjZvyqAQFNKNC71WXCMlG
MbSEeQUfcmI2nn93dIw2cLDbM0iLoKjN95SIQggBwzstyWpXUa5tm/5kafs31Zz67xSW5dcTeEL2
8R1tCHZmHQmfPKjj4Knkg8ZVCcXYiyNTHxy562ou12bWKvdNUa5fC9KeN11avnMApRqy1uXQoDkQ
k4GcUYdZlb7LsuSpr8jyuzPa25pFeeSO7ohx12pq+8L2xUZhN+ZLH3trwB7oYmS5xah6TTpfw/5y
wqMmQ2dZudOgyz/ZCK5XssGsvxaji4dn6YtbUUnHCuj4Sd8q2amJH+cZpSAayBmeg1vsiKNhzT6g
8NzviE8sHCMsxEs2JO5XYklgX4wSAQUfZOOPsWEqLPmOVwWDOlWPFZv+yNJW94pBXr3rWBgjV1uP
2Ya4bChE4AG9inOGDPQCvRgHO6AL4VtVSgKHyGSN+anmEkrYlOQ1NFe/yrz+EYdci5qOjapaDew4
PAfXJaCilYEkY5iemKvsxo+UgczBMfrs0EpICrNS/RAzKjDGAofjY3ctWgaLTdK6jJHU8S5J++Zi
5N4aCnxYpKgYBVtJjfUoNrIw99z4xAv7wsEvDh0vrXdKXrrHwlaSv/OP//ivVB9msxsh+9+rPpe0
/v7jH2gc36rvfzHl/PzGP8Rk7Te0IF1D3NkaCHE4/lP6IR3JZNhUOSb+4s0hAAnWZ2ufpLripzPz
dyEIfrpmWkhJFqbM/4mdzlDoFxUIuhMeX5NOHJPXBUnsryqQbJOhLT0m8PTBkDhc0vrBI8eTRYnL
GTHTreeJp/ANU8PMZzv7XCSWclQn56zDAxZBuaYibNgC3XtjWd0Vg/pkxfS/baIHBA5zgkA3bGQd
jW22yVpJGzpLnNs554bma1+fNTglE3XfRnmD2HkDI3gf900c9q2FrWQqUTVJj/tjm30M6pCdS97H
gDWck3VVS3I8Lphfi+Av/Lur2lPvbEZpvtdO32qemayqlBebC1Jvn310RS5CpN4lggh5dox5D24F
yTSpPjxR3UzaeIlni/lPNuxMYCrDst6Z+XKlJnxVmyv+nGbflgZLZS3Xd6sXJ9jp7wTyn+XSEUyE
FdqWqfE1luYha13bxyEB+LJjrlop7pmh+7MYi28OfJudmkwXtRU32zvQlxyycR595A0I+C7p851R
LDRRQS9AQCA9Don6MTGmi1vNNkcrOzlSHvzOjNDba+lWObdciUGvj+uGjFamjjeGh45pZSc9HQho
ivnRTpfL1Jj/j71z227byLruEyEDQOF4S/BMiZIoWbJ8gyFLEQrnM1DA0/8T6iSfrU7Hf993X6Q9
4lAUQaBq195rzfVVCjxjKntp6uQF59TZlQhTV45FHDYfaCT8puymW+K8EE2Jblv7FVohKz3OFqeW
JXF0RVYx0O2SC2XKBjsOIBNKcbLT4tQHA6Et7MEqxt1Czho6jPyF0whS1EWG3pGJHSzvVdG138AY
wret33bmuIM1feI8iHp+0E+Vy749pPJdIG1nwY6v01SdTL6cPTQWktuAyyyqmMc5JCsxI9iEDpBg
g2t5IzaIZC19a74i4/1YTvNjY9XhStrqAd/kWk3FGBTMUddhGb8UA30CeOuvXjnDwcXilcgmPqc1
mS9K/44z6MYfYSs5NEAhFuxnu2/2tSJXvSYWKK46blSxR7vGWEInKjftkLX1/XxyyomMWvoMAbMi
wTGQO0FRiaxqUH2rqtUfcRu/+mLkdLlky3dRdjTc4aFu+gdLZe+5Tsi57qA36XP1IEJDrtIY9W5m
wpGcHYAaYKqwDS/X3SgceBTWV/afZAuu9FyBqNx2y+uWebFUSFBG4XyN3WbaO1CrV2hOz5WpAUYO
Ode7Cek3jRYO1HXcdpkCwUyPxw7w8Qz72p2GY13aw6HNHe+gBo2BupyyTQ0FEkVANW11xDbHXNZt
YGqZeOV0+W0aGufK8NIKHQnUpNpaN3gyCT3HlbjGdzi+hG6JaimiT7mkD9TFI7Ddx/xfPjEL+94q
N/FKypDGX/oNScwQpCojtZpuBfUdspup2dSWQlHbOI5Dy0M10dH7yElz63OGM61YLGqjZj2Wi2mt
7W17M/T2iyqm5rWAqM5TmcgNRMmV59JbqGbfod+a92tzKpfWg01SOZZJdl7ztTTKatXWpHxxkA0c
ZRpbwkz43tC1EGHHbUgXSF8rbOY3lu72O2Vy002p+3WxgvdmPR7CoXnXxuZkOekv0rzYP34axRFX
TRiL52CYd1xM8cvf/6CujBPH6olSLff40zgy93UXcEg9x3Z9PYfGr5KYl8nAjxS45d1gTeoCmww+
r89yfd8a+8KZML6QM4m63EiPVHeEYIlfxmN/HjHyTuRNMu1g+rLEZHyaco6uq0QSYp40u/TFD1kN
l+U4McYpEAz7ygN/0rc/bOC3/26b+zwX+XhPj50f7g6+I/fTtYxEQepzS8ji1NlyQy/1oSQmNNBI
JR41OwuWz5tl0K9bVrd/fmvx2Qjx8d6gDRgEoer9t/isKiUHIZm8Yt/mDUEBZe7dTiE5mCwXp6RM
0r3uq9eRIcw2HQcGBEPLc+sXKEmXExNj06iYTzgO2XWFvff9nNMPigNk+6fRYfmGDYZ1lMZhXSbX
hdNsc3odKo8edVuixlLWufcyLUD76O+Q4lbPEQDfgNiC6RfD47+5hdBh6SZmK0O3TfPTF2tmsZ+X
zIL30gQ0X+q3uj/f5jPN0n++oh9QwE/3Km8klpAZopUYbvz8ZBBr4THfXe5VPwM/DW9tMmI8XRmL
cOH4dBo9oqcjI7/LhukWG3AOMJ491Jqj93pgXV5KFRKPU44w6oSrMCQqo3+Aon4WzbBDFtutsFbk
QRRJZ1crU32NbHPawbihexeT29SjrrwUqXpUzdJONmPr2MVevhkd0NRWEb+HMVmkRYoxGD1wuSPK
4J3I2kcv6rckE7N5V2IvJ3svZYE1nk40PTFF+iSMIbOfb90J84Zp8rN9T/vW2EhOXDrZv7iQf7PC
4PdeFEu6B7Pj32yWroaUWRPFfh6Nj3JCsbLRKyKEYhT7f/7SqLA/ry8oxBestkdzDYXDz99ZY07w
oK2p2NvpgJY5PtIH/MWC+cFh/nRfIG03IfzyT7Dhn94jliTWZgz49qU/YKmOlRkAYX9dVvp4FtOu
a8JjahJ8o5nnMfTlxi2yo6bCJ2BH3z2USitgVg0KgUTsobCxyfqsTtWUXxuQDWZnFBt4Ruk+Ew7Z
xzQiV3iH2qssdjacdb94tM9XmMyjg8XwJwCZSGSAIbqAzJ1qS3uZYG6/Nne9qrqVbsbvZAKk6EvJ
5FTpMbXpMnhOQoFqMO6zDTz2yxF10LtLWZhyY4n5V1jwv3li/8hrYx2Gb/bpoFCYdLRx/RR7I+Og
MMg8DuKO/qeppXxmyRWIKbfW2eSdc9vBg942OsO6/KZLuJfDtNhooBq3YzgDHnKMct1L/euYVGKN
iXjpojnnsGfy14f2WfpmsoZpqAVkmJRrN5kedXN8ndvFrhTfK0F1iNKbMznQhVTqDNC4TBUjyB3D
5B1q40sEBmiVNNyfVsXC1zrDSIfKStZ5mPk7054f/aoZfpHE/DcPCXvG8j9D+JzePl2jMaqJYhuH
ArhHsabEUStGnDvfgnMVVtEvvhGMGv/+nHjswixrhmECzv20iNaWmIRJfOe+MdsCy0Bbrr0wOdL0
2PsG3w8WT8ZQkKboWbNMJQkVYJRdOykFIK41UoEKEqzjfKg3vjOjr8kIk4Nf+71NjSsmVTeZj8xU
+lT7DBwEiJT2FbrJRWXTKSe+DePTfIpE+hKOS5WKiDeZ9eu6J8xQQb6gXEXdkiDs4Sv9OF6iVhZr
kNUIwhHwORqTtqSC/ogvnyTPuZMH5cGtXA5BYUEk89il5bHox4e44yDppahi5pqjnj2PDw34W+Q/
PgSJ4QEoyi3BJUchqNYMt6dhlU7r5Q9azr9Bg8ANWfUD/gKIAMtj1Cr7jDzgwYmWA4SdajxPlRZk
NdWSHibXqgaI5Vb817iovtaJvYQJh/WVb6vXpuvWY88FTrL4OhacWXxFKU5k2NdEDpcRe3wgShsH
SM7ALznOOWNpOoscf7rsyKF4l4fsLHE0cGPydDhjd50Z9jfZjsUxNezz0A5rYTYT+RvjTs0Y0OhM
lyePyj7rrK9mE/9qP/5Qe3xaD6l10KwjvuCO+uzPIZwnAWRp5/vWnV6Ldri0OvvewDGLJnGyXuqv
j6N22fkGSi0qvY9nviCcehrbcVUnvKzOBRrUAn9A6uO7bIS7zroIDKjpFRsgmtM+W3gPA/jeehVZ
8aYuIOmQseZfo4+UUErZF6Gw+lcFv3swu+JsaqwxmNEeB0G5pTcCrIse94GKOoaUHpV1xMGQ/VAy
HqG9TJntJv1DN7CCNmaH9J0jqY/GgQbzxbJ7Onyw/zZxk4p1Pc6nXI4PSZjjrgS/i8VieoXOX22b
qru4nA72aeycBzYRDpn9AwKA26Wa79w/99f/eZt/4W2mwbVk1P3nDtuheOMU/pNQ84/X/Kmrsn5j
Y0J8A8+eO9dl4/pTVuX9RvfcR2r3f3TNP2RVtNBcWANopF1w3Zyb2P//lFm5OOV0gAAL+9zH//xf
gQUoKD6v0qQo8VugtBKmQxrvpwq0N1sZz8B8D6GY1VrUWfZiJyGztj7WEUlKpqQD4MBp5oCqDUCT
IyBCjmzy69kJLcUxn/zvUI+HN7dnO52REXzzaQ6Uq8hP6bTxqnytyrBjMDIX33I7FAc0X+YNgzaH
VZ/H8BrRjDeDkMnp7eOedRB3ePdA9LJLo/rhRh9e8rJpmB3K9LFjTvtMTt5CKR6ygiAxvVIv2FJz
BepRm2geiAi9kuLcoVBFulEKlqBOv0stRUUpmpz9YjKbkCkCZMNU1Yqxcub314v+SmyJJZ4tdndq
sk1WAhMJGuGjmEy8ROxqX86SNlsorwQaIG+DEyZGZlRk6ClTjaSuqq2IrOn0+YwhT0dzn7UnDNzj
q5cPxbPVxRzRcElPp3hM67upSsh6kyZJawn6+pyxKOYd1pDe1GnQe+N5tlV5a4upRFfl4dteTfno
7jIVp2dP5OoOsT3ELvwnE8dN1x2BNUCQD4YCd4JjTZDkY/cWNYZP2ILIXxXcG+y0HNyAt1eHEDP7
PUjDluzOlg7bOAm4jPC3aT2kxdHuMGslkKxOnhoxtcytUR8H4NIMOyLbj1ac4N0rT8/Nglpnyh5F
XvX3vZU2NGONkW08HQzaOmn4tdMgglajXW+KwteuxpnhWlcwfiqZtgfQ0ecrQNP9U5ZOVR3Yft5c
jWFTn6TnDe9+489knE+dlpJ9bMmbwSqyTQVGPEFN7NdYr+hN0QVWzSJt7dOX+mP61CoG8ECCEEuY
ydh+S5Isy4IxrGuMabWIsNv7hbFnMY8vskrFk0k2550/27wb8Pzm3mAGuO1raZ0Mogt1FFyl3Gui
Y2Q0MZY1u6HeQ0gdLpHMiXCG8vqsFVFzxGTh/w6Qw222jk5mFHlboxeDA6v9C4YcIAEo+0oNM5dw
bqVFOcB0FXnhygdg+WpVpfAXpFy6iXToRz6MuKDOjeKB7zFFQNDKW1cl7XVrTPLoIvbwN0Y51ldQ
+eChOlOUr7ldywdP1PoNvknIXlrN3xtlZF3Xg9WXG1nm1Tkp3DJuV2POU/5VFUZiYaSPaNVxeZTp
6chDhljn/8rCiOgNKn+YEufSQpzWs6tC/8A9m2jwgG2N/UghM+vhZRoHMR0xtCb7enRuDY+udmW5
M0K9OKImavx7lfH0bFpwhM9h6E8YtUPccC6mxTZIKxPnTN7a931vM+abSFkMFoM8uoJYP1tVrq46
G5mNRdlDk6Wlq4m7Hyk52m6P4Mqg4Xm5hK1CHxaju/miwlHkV07f6cmtG6OQ8ddWNff6vTW3iN4I
PncKG2t6re3Hvnm0cIjdaann45ltxHjgIH0cosK5xkzU7PIuZVKrMtwlfT7d1aVnHvokq+EG2tHB
m9rsbmwwuWZjogIrTZCNCj/bQKGD4+74qzxs45VRyzOl6qqHf4UOPb6iDKvGmJ8ktHrXuyElb2w+
O6HE7J7gZ0tMgPlwqgyIVPyYBZ+CwupRWsI6cJQpA4PLsqUH197EuvXs91W0RkFKd38ctOtkNsJ9
tKzWU68/FUZHoGLElD8FCdMOp27mGoYdPZyYKILA8FN9q7fyixLIhbKkfKT96B5yr3pFdEGLMzYv
+tT4jHuzx0g0N86YJLddXXxlYq9W5nSC6KRvc728H2KR0z92u2DUYcnqYzqszWKZrHBy9PauZHo8
OQWhAJRyiCelc13HRntsRHvqkhAKr+8NO2LvrbXRAqZCBO/qDBNTeWwilwqtHKv5Waq2vfaxm25p
g0Mz662Tw7eNlbrByab1xQVPd7nT7ELbWYhcgm4q5zON0YQCt8SOB5u+uqunyb8QZAiqgiCR7A4g
5Hjj+M2bWxK1k8aRcZoJlt4QRejlQWUrYNLgakiQ97j9HlxmrGvbsMt1zbxnM8ctUXpONJ0zRUtk
Gozmy7ycEDTbahHAxHc24C4eiVQGzTC057xJkd9Dtr4fsjC8s80Q60DfIEEo9Ykp7XDyQx0PlSnk
S6bCF9nq9Z1ZueOtqXx1ijEPXJzYL+77scyDTjjH1s0LRtncOommP9ktNh9b4x8yUVgdHX5TM3Vf
RzW0F0/z8XmiHN6Kafa3uAyyd4cmIz73TdvP/dXYAdwBTNJaZ9YY7SrpYpdEBZnXFxSw2bomGOJE
w1nAoTSrna9a+WplGc+WX7YwGdP+wk2YYcjTs9vEDu2VA3poEztzu8bhf+uiU1p3ZtIc8lmI2wzL
/1rrp+rGHo1vNr36TW1o6X3O8A8wmGs+daWF45DMCoM7Q6YIAAfdCQzLLbZTbNK4x5ayM6omPmkD
EW92O04I6mJ1cDq2SJXOzkEDd2asP4q//9XJv6qTBTyHf6qT9yCA4p/AEHQ9l5f8USYbNhR6Hc+S
KwhvX8Lr/qqTAUD8Zi7INpr5/0L9/GU/MM3f4HiRL0VL2rKW2fVfdbKB1wnUBJg3dmr6D/5/heG1
f271W0uSlE1uDqZ/HeeU5S39px9GGDrAgzmxI/O+pcBD/TTn7QR0lHo+IN7Wv6qsqLmDzdu8Vm4K
5F2m2gWZ27TjaZnAdsaeHWStAv2qh9nIJm0Ena9VyNiG6rnVdX4Owgjgrcws4tukgUS30ipbHEqp
0m1vwfWsQNviuyf4F7XQuI5p++6oYdPLnIiZ4Au3XUlD638vZugHZDmM1o2GLOxGFVmcUTx344sf
VdOLK+QUo+7jsgUyGhBgN2kzb9Fi10d70qrvYMmTly4ap1scyiCHkSI+T80MTqyK4CSwRHS/D03E
UlvRtI5A+t/RXb5DC4ttFDOs+WXxH6T/erT+o6Frgbr90Hf9+AoceuF8qxx/SMJd+k0/fAX5bFmJ
RtLm/UxFfrBFb28qUzEc9ku1jJXMGkt8bOb+Lbhy86oYTT5a5RC1FcSpjo5ZJkzWXbs8+ERTMHmy
5dnsrfINYpj2VNR2e5ETEnk7TmhdUnNJwK9scYi7vV0kYfv2rShvPK/50mFx3dvVeOVGo/lAAb9z
pf+W1E79/YeH5O+mPT8fz/jQDOOWG5iohaWt+Tmwr0J/EYGRKu6tMg+fjeXbj+Dkf6V3rG41Nh2K
D8GqSY93YwESMFc55di2RdcE7ZkRcZUuoSS+PaqbhYxzHEth34cTf6qFaf5uViVZ2Jo53sjegQ4b
1erW9sJHbAHmzo8R7adkxwQOWcz7GOfeTmqNtksH4aynsukAreXc06LTh5M+i7fCYa9oTGPf0Sjd
gxmgZWeFdNXUlG4UrbWNjt59a8fPWeUnR8sqx1cc1QA/cfy/ViiHDu5EfGnTsS0T64KMeei3XUzo
NA9lenYH/OFZm8b7VLzhZE445RDYTqgN3Gg6UDS7YkaLdNg+RvBugjljBkRsxkgY3KJQF1XwLS1H
j+QaLUR9NXmZ+TSB9PrdyxC0gVxGNQ5hCNyXml1jW8i23RNAFJ+yrtOvwyVw3SuM4dpGM9chHodR
vKnlnOynBpBwMFuRedHiTt20ncEFNRf7xexBVLaXZ1NLZ4jJY/tkybb+7kdpdGVREQc6no3zP987
n9YsWOEezmIDbSbtXr7LD67ZDw+MSQMvjAZXu0jOo3ed3xc7DZv9IxIXb924vR9Y/nLvgPd4HU1O
4C2uwingFCjfkqpkBE+OzrHu9PrJra1qzUav72qwWspf4MK9k3/hxAr7dWjsjJM8tKuM7/6qDMOl
qiXwmIBxwiwZpV0UYhJr5VI2UoNq07W14HdZrqbtQDN/WVAZojR21Rkbu9PMTYy3i5+pBnWGZzzf
fdy2VQIfOI6diUQlmLrQYML3MvPAH2h5+8QpvX0qoMPAk44pnIg9JqYGzW/8vdDTXc04n8gkRdQy
I+jeWUpBiFmpJ70bT68xbfzz5f8YEv7Qs+Tyo3/yiCh1HHPxxC2P9g+Xf6xpJkZzE17MpgL01hmu
QdZUrd0ns88nwCbOoL5utYdkige5slXlV9doLaTaeXrM9iJ4BrEnZHV49NKhemEI0UwrH3EeWCuj
CZ8xUPBhFvfRoSZAfPvffwBMpfxaDm18pmrLOPiHD1DMadsYxDNdMgdCm0oQZdRVFG1rJ8ygbRSs
M2E9sl6YDktMIW1tAy27etFD3T4ZoxO+8+wBiUau8CKUS9toZDokTSYe2zrzwofMrQkgk0WENvqf
f/eP/fjTxbfAbDN5QHlAZ/jT786xLm5ma7QvJbIKKANtG75zN4fevmmb7NGY4/k6Ua26yTDq77rc
4xOYIAAOXhUPRybbsJF9szlk9tgQf1FrD52T+zt/pIUTNAwRbmavja8QwqrbMYdhgD1xbN9hs6Hu
9+G4tOHYH/R59tCF1LO67a0xLXYuwHtgvTaisMV60/V9+GRKI9lrnuYd27gG+A0PcZu1IiLxSapn
mBHzrhmHEBWobDYzJA6PxrupfjcAuTXM+SzAa21lGptZVP5WlOl3AydXK0VRr0RaVYeMxK5nSDrN
gZpA3X48eiGpcW9NqEkSWFL+ZY+T4zirxrwg5MW0lSdgsDEwyDe9audtAvH/mTtv+N3K8mUFWS4N
IJtjHxfztYVHOl5ZDJVxdDBXm8w8fdArc8a1DAn/K2SXV1Hm5QHCljqko9kGzWJR0SwEy1LRfrKx
Bp2BLLKX/PONQJH4U9nAKugLEkHxf7NmL+Xgp7KBtRoWeTrUF/ThHTgOklNBwy9rczYqxPlhLQNX
Ll45envRllKsenFgfWBIZE3aRHl7kFrtArhLsmPNEGqkB6fHaTBoSZyvoqjYdjXKrhVPkv59GvXs
C8t/991Edv57H7uWtuawlbvrVnplTFxPQbe/6OxN7qI5Wymr4GSVCdR528yAqLWCDdXvPTS862mu
3IOy8i84vwzBb9kSsq6By4Dwp92hyZ+IckZ2+FbbbCvcX3LdlAQCKGNudxZP7d5lokvJuXyv9Be6
p1bhv9NS7H3KjOeNL6Yno6qA+ZXwyPh9kM8hfi92wB+5WROztQKHMfgr7e18zTk1PZZGou9nP5s0
FDVzvWPiJUtkgqHlB1Wfykf2gfix1Wi1reZqFKAEY8A+LWY3/HZp7UR7Sd1CyJBgNVi1spJvnD6N
C83lpcCBnHLUPRiTGnKudYNEmaathKWPExD0ONQzlrysbLlQ7djw57DreQwmac4hQ7LWskBb0SqL
oq49hLrFrjMbifguBaloQWQ4VXrSOqSEtfCnu6iLS20z4wr4nhNtHgVdzbBl8V3qgUbY2lUEJAPy
SpliRCOg6KRZaFADG+rAV6OcY4/7qZ/vkgKQAZO9RF0aass9QUR0R9t2nt9NJ/UOXj9rG5APKRRv
LEYRkyJO1qDYobDAS5eB06CxhojIXRjXVJkrFTXrDkQ6B9kq1NexmLN32rsXRNzIP2zK1nA1pm4R
ZGOan12X2EKToWfAZoCevvWn+e7jQfrfyfYXJ1t6ciY793+eAD1N+HGL6Ed59R+v+fNoq1sLQBqp
FjJpnU40B5s/RkAMzfkr2nJiQRh+DIf+nADBxEWAJBDN4alnDeNA+qe+moAZf1G6LPhj3fWY4/8X
TvtFSfLjRunpSLURWNuL2oR679PBNuxHWHNs4+c+f4ugV8nsF0eYn08woBQ/vcGiSvihimiUIMRD
8QYe+FTp5avef4mHc+yDBXz74cL/zWnpQ+Xx04fhnLSozgVLPqzsz4K8CbdMZhNAeZ3YRH4mFYch
2gNwkVDSpbX9rU1U5L3KMvQ6fccG1WozKBabGPmjLvQ6yt9YPj03IrnSkkAjd7jQ9B2Kt/732NO9
OL/qG5yA1kl3qvmQtX4SNg9eok8nxyJR/WEimgx4qX1suwTlODI2QreSsMYgayJLXnkCQ+TKxKAC
WY42OX4m4gZqmd7XEHUHegBWMbi0EEsvR7HiTCaU7948NkYVf5lU1p+ysMZhNw9TNm5hSWYiP7kd
E3BbOfOZxB97/KaVOmgijVEGwVhmE5ACbIkbYFPVfEo6H1vviOsa0IkYIsoAbKlp0qlwofTFf2RP
/2/V+MWqYXBy/8dV41COLz8uGX+84I8lw9d/M2zXZZL808TYd35zLNOhHnehyi8I1b86YZb4bUFl
YPgSnr8MjHnO/2+9gNqx1D5s1WgBeNV/s16ITwpU1iKUtaC3l7LKdMWHSvSHB3rKu24o3Ng76nWu
TloCFG8k9uSihJ2+5cUAYg2AGaDhjAQ0ZgxhehYib54R+ACtCd1WuzUiF++UrKbh1hJd+JjOtLtP
dazUq+ziJDpAfK5DVDbMQ4JazbgSYT5vQpW5jxOo67seJgRsRiJhwiN0wuxtGCb7aqh771HioWxW
cwaqEg+iYU5rooWXjjiZtb4VHwZ7yDYJR/+eHrRvc3DJhfOGy4XkNx1QHOJZsHRqeOpQhV8Ia+jn
dT9U4Xsn5vwGTfF1mvUMRiZaCBC6RP0CW3l4UlFNcOzUyncgCRV+w8heZDXKva0cuBLo+kVL5ztS
MNYaZHE+h7d3N9e0u7JIcNO5Qx6dB80EUW1VCDqi1iOxj2OvdUU7LgWGTwPdX0EnlS8zlpB9RjLi
Ble1fDYmgZ1ceLm3a11buJAqnex+MqS8YYJ2sMu+jPbxmEU7nKzeEUXjsNMJKhTrOc+d+1xGM/iH
QmbuaqKOIsKHdPN5JVOmfuvCKv23ydBVtVAjXaivC4mQuQhLWpjWxz5MSWNpDQSDZlliWq2Vf1rK
NgZXjHZwxVXe2WJ+zSBscPvL4Ob1PqKI2qea3jKVZy0O/JjqC1GrU93X2djhNPC0oDQVF8fPMLhr
VZHdwEl19ZUXzckNK2OJydJ2h694ekC79lbnnXDh4XOQ86RIyIpcnzGsE3brCEsowVpFc1NIOKex
IsRqJRwwvNaoiMDlrN0duyRfNOJSRbdeV72TezD1e72b65hAGlG+jwS+WCuwK0T6ETbUvRYNY7g9
B8rsMexVcqD7UW842CfiUBXO8FKh3r51xmZYl1Vhb31NQHwkKFRsjZLgTlJyjfEGAW2UPNY6eIfh
bta8GEusAXWm27nGEF9GUoNuc9OfjOyNb5cTBXtmE3NtOTUQb3DF+XoqgYU4bh6eo7b20QmVBAZb
3fA82iOn2ckwv0Qe74E3ek269r3VKni+BeiugDMQYsCwMBbrPkzSgic0GCiHjlNnpds2T3Meb9EE
dPpwIaXjyi2MZgXKv9y0epUHdWeE20SmS/gRoV7QEZbETJGvs9Q4mUixrkvdANJRWhfMlfts1O2r
ubJwb+gN+Td6sdg9aq57r1SVrwYLhHHhAVBeWUWtg1suJ2fdtj0s9IZ0RsBX3dHMG4xfCQNJofzx
qhdgeMY6p79j98j0ynyuTw7EwKOZ9PkFEJmFlK107J2TFN1F89u7WfJgpmXyjo3zCw1z4la99A2O
uLVOHNTsZZy0D1pvZmcOiG7QFrC6YlSs90RqsWp5OfNKv0XapzuMeEl8ktASIi8YTDz/Q5/eCqt4
9K0mC6KZB1srxT7poovjFBJ4hpEE1ANFkMT6YK/QY9CRmJ0c0bKzXO1yfKChJ9f6MPkHt7TmDf6T
YeeZiXlxKjCtLE9EYVmNfWBbzzcOh16FWK3tr23mthtywNXVlNvzk8gsi5M3tYFMmcOpSqIV6Dv3
gRZ4f6pGJ1MsUi1rigtjGnmlHWqv+qzwkcg0mm/0lKeXwje5nQfWxjRiYFvSg9/3mo+V19B8tYna
SG1DcwYHVuh5MNLvC6I4rc95D6KFXATvBBr6hekJTKIIL64Kc2Rsft1tSNmF4yG4KHcjgpJNOEPK
D5wo42qbAlsA0Ffff43jiU3EEwMedXKlFdBprbiKsTvfJK03vg06XaehSMnQ7kx9o5PRu04st982
rZd/pY7ybmXH1IMouqL7mnj21rR77UzaSHFjkKJLjHWkPyDBzt7byeqeXSOy7l0yDu7Igos2k1Hr
26yy+uth7kjx060WXR9Knw0ArIxFV8b9fWyJ8ujJVryIlltaiHq8wl5TXHtG1eKjtY2btrXT4AM6
2ubjdI+gf6G6aUZ8BkPFpBrxwlVrZ+Fel3YSDEmbrkvLY8nMohtAl8k+pkHBOKZ3PbTIngssSkRr
wB1IhyASz0c9q+Q2R0J1js0s/CKLeZR0QO32G+PQGJ2tNsRX5pC2ezgMNQZrQ33PEUjjVarmBzEI
M6jCxG2wd8eEf8Oi/FIz27iaZThegU/GQZ85esL9VssL4mXjnnrV3M5lUgG7qpENABCQT1VdtQA0
ECLKtlxCr5bVnh1dvci0zvB7WUypGDSozTiKlNOqRUo6d+URk95d94GtjRqxMGz12lmGvRMjffi2
0wfstiRqI36iX7wQZ7rS6dmJ0oWPO3+gcouFmtsb8HMnMYDSrRaqrtfB1w0X0i44A5ZgiR9jAG0A
izeSU78bwfOOikYQPNkIuhcyJ77KbN0vPF+xKKtsEL99pFXreqH+/u9U/f/DqzNpLKMH/8+n6hsZ
/xzX9K8X/Cmq1H9DF8kcECad/WE0/utI7TFHpmVN+Uw8zM/4S1SVvkszGkejyyAXxeNfNbLwfhPo
LRkwo4Lk5Rhx/osa2VgOzT+cQy0Xib1H0981cGlhqVsO3T+UyOGoAYkobPswKB2zsJnMKe3HKjza
wKgZoNpMK5jQbdEnzFsD9dvRy7rq2W919cUuvOrZcpL2SRdF+xQpIpB+uJJ/c0z+eZaNt5I4apZc
m1+QzFu0lj//dn5PqIYx+tYhGazyxZa0f6GYF1eFreg/0eKc8CgQ5tpWJd2zf35vYS6d9x+vDb0O
e8mbh6Ln0t1YGhs/XRtpZpXTxzVo7/BrXocCG3Uf+9ep35QO5HPbvTJ1KNNcJsc9KcuPvxhJE39T
czGjMW3rYV3NkzhGWdRuoIZluy4DW7lp6tK5c6XHWq961z6EkLAYEYlqa+kVTcBmoRqp3DcCa2jz
G2lO4Cgps0ALezUV4Wi47hprLEQbr6fjy1CTGNIhccxngiTTVdkmcjW3XnlyW7ZlWHL9RRZtsS2h
ibPNg4cD/Fb7IB/8kEwfEVv6k9Y02sZL3YcenTwW87mmnek6VXFuLOowTWpUCKTdDftJy0MkpPOS
gMtCuJrdcUCFjr2ObPBCAmpX09ci8XCcEx5pXNljEsLJn7onb+RMhb+c8mqlG1IN0Mw9Z4G8TNtR
oqZVPk5VzTLpOdChqi8+VKM7vY1jY40inYguGgbrsmCYvPak8jdjL5p4OwgFxTPmUbqo0Isoqeva
oadrye7BQAe5KTrkpgdEyhmnBJPiSjFkxfcrRlxogKSQgMHE9iCNdKkgptypDG1jRbM4FarRRzrn
MWYJMPGLE2a2+FoTzdrboLc08h+dBjCZ/RVzjQek2ilu06JRMMZr0hR6G7SFBWmHIF1dYVZPkmbb
dKN9O2WmtptNYohqaWJD1OMtHuGB+YLhHzhW55fZnAYSQUkpPc6IJNcecqIXCZd+P+c6HfGs6vYT
jLd525mMMMnnJIA5QDSpumCoi3ZHsodxIvdSHREp/D/2zmS3ciTN0u/SewZonAl09+KSdx40y12+
ISS5O+fJjPPT90dFRnZFolBdBfSyNol0eEh+R7N/OOc70SvZFUzrx2RsgAXZyS9r1Ic7UYvJpnhy
y1+Ga+VwORZccK2dViVEvrhlKjQsNvmxrnQy0pSrpySm0r71edrbDYm2pTM+CVmmU7NBWlUPQWRG
bRyg3KrExms68gozNqjE6shsb+j1+BOGeCk2mNJLdokNkWj6lX5Apu8MiYrm4FeDZVCG4Btb+sUk
/cLMhu/OlMb+ZbaN+n1B1toTzdlPkm9Fq9HhROga8W/Cqg0wA6K263pZaVumZ/N1oLKeiVxzWdj2
g7akT7NZz/NhhmqGyI1o9wj/DmLrkBl93BDvM1KEwsBmGefPdiWDeMxZJLAR4iroqotMxpQrVjfr
d1WDGhRyLvioT3p9nHOVPwqXQzOeEp4/bKfqDl4alIe+ZiOsGT7/Gns9knGTyH4ijUOMW/QcEYqY
wVJ08k5mbWicePRT7C6Htp6WQ4p48A0OZ/02DoZPvoM9NEOIVcz0aG/6ScMTN/UfeiZ7/ZphH9Nv
eHzNPmgQTbxLwKJ2+BWY/HWU+zzzJLAysnAxFXGO5jAyVxLS8soyD5xfkJOzlav9FBlRQZ6GZYn5
nZ5Foq/1/pTZkh+/am+LmSKUNGJB+/AdUlyBRldDvfhOrgtDPaQ46lzTNNxaJXjEA1wlbTf2lFmQ
Q2XDit4o7uYqGUi0rlNGiDDtpoc+jY07ixZdbpBIFHfs7JlYVLFT26E3D8ORWO0OveQAQ+FSatKF
YsMj4LNbNtaxIiBtuFmtXAl+ph31YaWk+0MbqnGGdyAJWSG2uhJwVCHGIV5mWLBJWnd8q4VW3xIH
pmOIJ7DeRHDaEA0RL5uPqv5QonsBK+QcB9/P7L3oQIH2DvuwUMMJTOdDBjn6aWavRHvVfgQ1Iot2
otfza2IOEfAHba4uSTFKbFb9tHIge/sT6jmW+8EUyQ6X2RZxPZNeTEzTxULQeo6SIbn07iLVpmu9
4jiharC3HvLxs0lQ+tHHsOqCu4+055x7BrgNy6IQPlBRb0RbumuYuVIeNjUDHfvcucTrktU9c/oN
TiZDzvE4sGPbouHhwFelqb79d+H4nyocBTGc/6bkCN+793/Acm7v5a//9T+uaVX9UnX3t+mq8edP
/VU9+n9YVCGujaLP/KLX/LN69F0EhSsBB2zAXzLEvzYy/h8m5aHt0l+Yfxpv/jlhNf+Aqm7a+Cp1
z/bXPc5/pXpEo/D3GmnF7bCpBt+FaIctkPgX66SZ5H7ZWaRZVrpGEluPsBUFyQQD75B2Ymq2RD5B
p6PNaeRuIorH3DpNZ/6aGJCqTcn5uGlopq4g1y2/3rTUmt+mhYHAq/AB2oajEh+xZ8QvJaVSkMaO
/W2wrO7a6nF3v2ZbRbu0ZlhJDJzmXuORvwwGh7ThPUSKHHVWVp1ZdiL7n4iskJ35oY1WBIlGtWTH
IdTsULT7VvVi5rhmL2ppF7wwhYMtEZmA2f/MlhmplaGYnzjryjsju3xWZL6wSA9NqZtB4pr925jZ
I9t6MhG0a26myCZaAIbNLue9fYqjoqRKBOSJw6eIKBMTonLiZKyWQKbZ4BwpQtVPl5X4EwAK46jc
LtkbU/azaP15i1UX8qjecmoO1Bx79jbPc27m9w66BqwL/mxeSdWJyrCbzJTIZZNQLYnSZNsJ7X1C
NLHx9KwcV6AzXqTKN7cscXy4nh7Q0yVxW5v8G009Cr2wrwNjmq0g+UEce99vQdAsfvS6lJ771Lh2
9Cy72fCOxKaCiWGibhdnQkWIPXJRqX8fRplsNTaMQe64Lq9BM2zafqpOjl8XwGxo2ysMrihYEG2D
t5vn8dz1IA/J7W7whiOzfmyrmEjpfRSjDcmFg9lTYuo2uvEwZ+NShS53APdXBBfJm6MIRn1pfG8W
E9n+wprs2S8wvYOBgRZIBg8smVcQQn3FcNHFrwbt3mJcux27wldqb/QZQVPHJLYpeMqsAFf5HqtF
xrxzGJBsu4Aji7bAaBsLi1M0MgyMqq2DG+eYDsujl0SkbyfWau1Yg2Ch8yIlqbmvEscnqbrvOHwL
Shb8ZbYxboslGgLwBA2+Jfc5n+ywtI1j3MurPXtcWFiR3LTm+lraoLfzPbj+6OTm1Y7UcfVCsNTD
RM+4kfwzu3ghyaQc5jehj6hi3TRicD0/6UWmiNaClb84bXZpS00/NjZjUmy3xokI3m6TKwGCX0uQ
nllTerLggu5GNB9nrZiXo97y1TScwnjxZ+NH1XlW0LIH2WRJpwVWlw07SvCOSYhpZkeVjh+yBthJ
JFR8bh2swgv16RZ10b4GiaOwje+sBVpGrrVhWmpkWrUamXSIhJMgTpJfwIS/uxPgbz9ioue0OnRm
S+ZwVC1vDIE3xmu/V21UOlMxZMtTl2qA8KBWbgbD5pqVbDB59Nk5QxQsN9HUNUdkD/0v8tlmGgV8
Zy5ftgPsvjB3G3gV8dId6rY9VqP91JrFY+6lF5wne58CCprh8pw6pKToyj8hm30EoXOs4KhisIfF
lPHqx/Q63mC9qLbde/N0zQyNEaXdT/hdC8za0aJoiKxXdCdsRrAIhaIsfhWWjgqqGh3G2wnDOI25
WysEwUrE2LedzSGYeldsQ5jSSjYDeDJRLnuG9aCzxtmudKPA9YeRz1ajBJAxQBmGwlmu0ZkcPFl8
krtDW2zo/snhuDz10oQZFJkZIIAuO/TAAEO+FasIun1gdLfVPJ7UUle3icysd9iFeAP7yCWwIVPa
uWkM6zE1WudUN3B3ecPkrkH79+a2yXddU8STGtPvpCvFIXZVHyAKKzZs/ubA1iL/1M+puSXi1X9g
o9UQnOz4xzxzHyNHPoxDp+84JrxznWmw5VXudN84VyAGDW40bBqzy270KwOT+5wcVt6oHTTU/kap
kjya0+QTXKQ/LlLrQisr31RsYIH3+7t5KncVA9HNlDXYdCr1qBxkaBoYz6jXs11m5jg/tNp6x8x2
A83O7cD+bsqFv0+z7rkg83ZnwAZ5GvPx2miATIlYyl5cLXuxY1hKhIe+q8X/7sTG0egBjjSib3Zl
wYw6McYdSp8juUp7wAtQYrLWwq0Vt/vRA5Rkz/bWpiRmW2M8N5ELH5WcNRzTLKrONilwt0SYjz3h
H4VKXknJYlFVLKRrEQnISbt1NH/tTlRgQpTK17O00bx7T5l7xdzyceKtg3o44BPnGPV+5FEsvhc0
2CH+cb5qGrgaA/MhFKrt0JL74xndzqYLIiQs8zbtQOgUbVWdBPlceDg3++WY1N2ha7LTkEY50wsd
bgp7eMxq2o7LrAiWyHc33mj5JRSx3vq0NN4velYgbfOiWw8Jmj8GBLK9Fn1Kotw41FtEhclHMzmY
KY3+wo5rlTIXL8IaDiAyr/4ALRlYo781ZPc0zOrWpm75OUzVwffm7xmxj9uB5+NMeZ1TY7vpeZjX
LqwUOwSDnsG2zV5uk20VgIujtgn7JRFnO7UxaWnmjM83Nt+iugcJqQuw+mQIVw2jD06moTSrexan
jM5rSWhsx73WpCMIo5rtBBoZQo77pr8YcRUFqWHQrfZ6uolM7YX5yHo9j8QF4p3TPPs26q7xiuG2
utPjZphCay4sbMbzkvWPVaZ5R1/ly2kazBeL2duHRlBETFxy1ec72x1ZGpuFGFliWfU8HLhnDSAQ
/iehefcicVOMhmP3qOzqHjQaq+dceyjnpL/Lp/Sbkqbc0WHUJ0KfvkExLZ6x4Z4MTXRbwdNbnW3t
D45XSEykYr6zr5Xb0Y4kmyoUzVkNltwpHFQZXgOakO4mSNXwRvAS4G+dHJd4GPNXAoBZDg/K++30
dhwyDsDxlJjFO7qU+ckdNbQdvfdm5iAfSq90X10ymwmBdPTAcJPsuYornS2xrvagw0tA04AqJmv9
EvGGYWudzHzXeikHss/DiyUZL2X2s5H5x6xr7qPPoOAbbjMI9n1yIyPTDueBK5t4QVEGXiqtJFga
gMyNLoszArf6kPUgvxdVxVdhFIcuj3JMbm6z7Xu/fvRKwOUct0n/oLWmd1hcp/2mLf4Bit/0PKjY
2glyMSHFLXl6qbruJ2SLT07nArSf44e9jPqXlImLU5n+vvHlHNqjlm6jxuGCSH0H1xhK1cQ29CrQ
6sy4VdhM2R3b7QU9OJLDTs2X0hr9AxrKKXST9rOIS4EQvEjFfdMMbDK8XpFxjFfb2zgdIzMSJmO4
T6WVc3kprXprgWyfY2e2dwW14Ks+wnsLCCfxiNa2ZpMVuik+qsJ2PvDyJpt26WIf+wLNqSgoGHpe
c2PF/C8whSiABxZxC6lCvR5WpnEHwgIfZzBWjChPiV+EJZVHkHgp4UJBGYlyTM4ST94uL4f4iU1y
J8WVQitAbPGKNZrB1vgTYAqAp8ZdwrJriCmJYucYVSyDl8n2mafpe961k52xo/TTATF/DaZ2svof
Q0eirLFgaqoanBp2gbJQsiIKsLMfEqvCgRut+BpPFMRDGBYpb9lwqvRxG0nzliWZ+ZIyrdsz1fXO
aVLWiIySMshd/2lekl0xtPJRMobZ6+KDdDIKpiyqt1kZvYhYEtXaGmGkWSZhi00TKhto0ZBFJ+nM
1dZtiwMzhTIoJSZ9aAgiqLUKJgzDQq+YWo6T1N7AKAXN3mLjXPLkx8g6zaHA3+keL3HpNy9TXdVb
Fx0CuRYloDHoJJnwSnyalIZFhwh5A0CTO7GojzWran8srb0Tm59F1b/UzWzfaQ72CXIPKJfteTeN
pAFA4AgbtKAbs7HlFdUqnOFFM16ZQzBTKEo0u51CEGJkXHWzZhGCjSmRpAIAjghw8aPX9SUvFxwU
zbSrFTVdWkfpz1xiaJxIiFlSPuVT4Wxm3So3zuRFL64oLm3SW8yOV5BlW/2m+FVMUNVWZEsdQDgg
utAa7iZICbsFvemLtLI0LKwe0b5V+VusJhVFt2dvZgS6V3a6bNgQkO7grrQ3x4s+dIWN1c8nZ5+M
+YQpFvK0r3CrzYVL1SMa/05vsls1zf2NuWNQ1u0YLErmGM70+WZk/kkTnh4sDl5QdxgQthDNfYGP
8bOm3yiE9obT5D1uSIUVqr/Q5s68GPluLJZjhM1hu4A/L1DReAh0gAbpF7IAmkOby/s2XUfHCcdj
Qh4AG2Z91zS0t4Mhzb3ZYRSubbExs+zsCVQw6PJOeu692CBEN2a6vE9u/xn18UddY0P2avOh765u
Hb3U7HaRIFTxD01Dld5bxZG4jiWITfeCYOa715C7AYR2n3M5bozYa25RxNxHq3SBe6d5yEaqM01l
4Oz7BXt3Dvn5lkc1M+5FuyccdmBrW04LVwJoeMZYA0eDrrGxnT1PHSWf4B+4h34ROMtnJGKilpiG
YgBuFWsavF0yos/KesvEvrxxZYF1n2qzoMCrpRtCOa0eRqbVh0GDnq9nTr7PUijLDCqlngR1zmrJ
QOYZTCOSA0w27csISO84DMlwpKrOj76bVHvLr6xdMy/xedR7ZyeJPWHUCE+i9u98r8/uq1QTv+1U
9eclSZ1TY3ryYBRzfoLWNO/s0ZLPVgWgEwXHOz18ds0rLOdRrN8tS0y0rqrjCz4QFj7CsK8CxBqM
zmnamxAMw2ygWyIYWNt1PnFMElRARKDYfqhMK4yhzkHHgNyBVicOmW1om8qEbWD1XuA0GeGZSRGR
IdA5SN7nD6/scdob7rsbF7xiFLXXqictVWbz0ZYDOaLjcBNlTVmhElLQch9miZ6GJJPCNSwJIsV7
WVEGyQVtG79e+eRn8t2JwZPycS3HnWVkFZMBI6inKdvB8y6O1I1HPNdZUBTlsFvhLVtO85m33q62
RU4QRoKheda8x55Nx55WmImLOWVvQ87WaBNZzDS5qtc4NbqF26z8M/slb9PkmRUakWvD01gBtLQf
KLTaszsrfYNiIj2o3BKBlE22yTtYjF3edidVm7/bpb/OPmadtbcwlvQmON3hvMYlFlPexhpBOjFO
xlYUBaFOoybWiXEX5q2nnUmvucdOaaCVKa+x477Wnq/21NctzD8+/tAKd5XQ9/HIvKOARhk0djLv
2GHwq7wepkna/Vrq5gFK7HVuIJjKNaI8NrdMGeizDLMKSq3EnNMlPL2CcY2pAj2ZOJVtPTokdYHf
JW9sihYSKvimQl8rCCPoO85IW8iQAvBjcLOPlHWfZ7X3U1dPR5xT5Ha37Zkj+rWJhmpn9dOWVotP
siC4uBtwcPBt0G+L6I09ZBPGKAuXrtWZR9mIxznTjh6xBMheiLhrRcWGIVmqbwAGGZuM4+jtcFw9
c3Y+GoQY8YyGjkXkSOfljQHyhSTsNOByS7PpmQiEIkrJzmVPvCFl9wPGu/+QxVjRqGb37UggjDOZ
ywsr03t3QRA8NcLA76/vOmW7bLkkoiwKZS10CKOAIudmzyV5t55ob2oxzrnnvKOIxiz03oly33fe
bznMpBt6oIkrsWSBKv2wzapAZPBtCfT53XQSaD8xhUmrJTBqWdgo4GI5+j2GKvDY3CXz2elVzAIS
AfCGU+sHfM97mXBAwwGSzhQ0uuXeIfMxTho1fYNhAQ/UONCUD+0s+Y+4yZuB+Btfb4C+qKmSYYJB
d2ydc0NsAznUAfqp1ZGHnnLHFCc+cWXZbHeEi1RNzG1/0epF7i2Fp4GlqSWPKV64e49TDaGXEtIu
KY3bxNusMazds2Y5pdqVnsJVSO77KAPm/4zaHHqEmePD6FPifX3RGpuK18iGgAFfXJt1VgEejq18
cvPuEqG3YWLx5977/7cQmpi+dYyt/uf6iz8pLjjnku5///2P6s8/x7/qdfr9tz+wdE27+aH/JefH
X6ov+NE/Ddbrf/mf/ct/zNP/XxJnVMb/oYTj/Kvq+s98/pvM+c8f+msQvwoyfA57f1UlG6go/kJj
+X+wkbWsFRvsejY4gH8KnU0fujx8X13X0S4wGv+/ln/TYQwPkhcvgwU0YP2pv57+P1QRvHJ/vhz/
jkpC/IszAlixjtJ6neeb2GiNf4XAmg50am+J4tMgkFgFJhPCh1HEy84cq26f0hOcBv2DQQtgo9ay
xg2RCz4JKUN3kG457M1WtHvgLpDO/81C4995ZLbxLxJsHhpPbrVWGA5pdvq/QrsmxdAjNzzn6JKg
V9/5KP/uvMUBwYND3gZ+15POJSzNgiQXMbQFJ6Q1gwpKFJrRT6+qxIMiwrGV22Z2S/fbQtDpbU7a
kXDxRIm3Mkk6R26LoVl2HIOaFxZ2Zuh3UHn4doWW02negcyaJeTOqji+RTFa5L/XlpvLl2Qe4gOe
fEzpgc+W8dGLVMH6zFXQYOBK+SdP9mLlb2XbSfrPLXoL8pj80TPvF+H0L8R2F7ihWlZ+OCsLWGRj
1n6U2O4IhTHpWwaLuy5IuXURa+SgWHZDRAVw6iiwc2KnZ8xnGdlXD4R0kE4Rj7tKRq/E52l7FDfy
RCUh9n1vqs9UT+SdX9pTiOLmLOL61NSOenardLoXPlk1jOC6M4bm4TRpgxam7sJkpQDidGsBXF6q
ONlpoBgQTfaiftQs/43NOvvaVNU164yCezeKGJrpvT1eNaBPD0tP9Dpmvlltx3SYLiykn/Q+ZiM7
9+lmWvzKxdrmiHjH9MT6oENniNskCpKqjVyuN/XUedRBlz8OaWXSIHrlvT0sLmZ5U4r8io5SmS9Z
LBnX4f2n+Gq3KGsNGupifJ51fcKra1bHCa3NnlKl2jUsRvJASIeLAM30ajIVh8mMmi03EhXporcM
6Jv6iPB5DIiudh541duz5+RylwGOOMVY0E++cLxTwrojDqNKL75j5lbPtYvStkVcw3Ct19B3q3S5
mZUxXcxBd3+SHuDsrKhrt1jJIVFAAg0K4OxbI607hx56sHZLi1GTKqhJ3nM+9hiK5RR0fNKYOjBI
1t1hvOEBZto3qn5bWKkPGyoptp22wMEdmZcuVWfigi+Z3+iLsYllmvCRZpUU7UY0kbAcW8v5bvNL
Am0qNHbUfr+1oTO/kyVAD57N8y/mGNG1JREw9KZJHqzGgobXIZl+U8YMHCOCZnTE2sP6t/5aBS9f
a+Hha0WMeIGNhfG1Okb+yhpZXzfKxddymaWN9mxPiCnY36/b53UP7Td2bW8nXsfj8LWoLhklXGJE
uWdaIF498g4WpEyr+H6gzZ4NO9sQmWp9lqM1OtBS2YgvY1Nd/IKFEwb7Nl+TgiMcwmzRja+FOihx
lutxsS7aEfmydEe1PT64lZ7aVHq1c8w7+eIn4/LhDsu0jUZlHf11i48Cn4V+s+72OQnHNzKRWPiD
q2D5X34JAfIvUUA8rgKBetUKVJHr96H9JSGov+QE4OKsI2ZVRAYlfppsI77EB/OXEAFBxXCsv+QJ
KGNZ/WSrasH+EjAMq5YBEtz44Ehyo5hIr2KHuVLFHZSIZg/NgFkXqlWEEfJLJNGsegmH4wCkpl+Q
R8jy8DXqqpZoHlapdNqGecUG116YtcJLc03QaSQ11M9uTWhAKPrUCtHZtBeHz6i/lSt6DQ2PvI5G
klAnj/kLZU31jJ5IoM7ty7BsUB5wPHP42irPP7MYWyjmgZX2hhvAuWf1UmjfCTddVpwXaDjDXClx
7hcxLm4kAHRrBcnJxWxPcylGhGgJ+MAVOCc60HNotcNFc9jOxCuYTjdWRh1yHeuc+KSqoiCTT7ZZ
Q7ODsp88CNswvtVDmT66DPTFQUkV32MKbIgimjvmzgwQ1Y8ahzRbWqLB7L1cMXrRCtRLID+zuBPT
cO28coDuKEabgGtEb8h6kP7CmlnxfPag+OeKuBt+c777j76WjLvWddQP5uz8E7GvLxdUMiZJK+y5
ZG5M23YEC8jZMB0ZQ0ffhxUaiJCJpd2wogRzIFlMQeoVE7ZGdfpfvMHMbt2L+KIQurOxEgkVcEIo
YAh4h67tz53nOF9vG9765FzqUsNnYPIkB+FuVeJ8ZiY8rdGzWKK1k/magkU7st5w730zQWQELdFo
V24iLlzzbtKaC0Y+jhy7uMSzF4FSBCTjstB2bI3APVFqbLIYeTeNld1mu3b3Vq01/MAyGXcgDqAA
jivR0V7ZjobRG2woZrBukv/BXKj9ICGhfZCGOZ0tu2X1qdD9vVm2P3wOK0UyR5oQyrKmX6Yu+aB+
rz/5lNoEeX9BKK0vICUCqOSialr7DdepPJveyre0TdbpAeNQ19rSO89WCCDBN3ezRJgUTrDwXp2s
66ptu5IyrS9o5uyvAM0YnEnERnoFa3ZfkE0vccf3SnkrAe8Lw9mvRM50ZXOipODtSt4BWQ93Gt7r
x1l3nvIpsvfZF9zTtCQcwAo2wZUNJ/hPCFzMP5kTgKJM6h/kWnS7rocYCkKT94vQUkCimplVP0y7
LfmdcEaNlTiKs4fZgrtySL1WiYtCH8S3SMEpjb+QpdRd4EsLr0OF7rpG/o6j7k1pgkTQWazT1sxv
ThnQRXfDt44BnQn+M0GkEBEuCE2+fBwTvbvVWTY/WI5IYRYOOlNKJTDvSGSG0IDUY+yPXNa2Z18T
u07gnPIVu6RIjO0QBhrks9FKTTI3SwtA4RqGGuFc+Ryzqf3wQKmj/Vw0/+RaalwLTNuQDOMJUJnF
0iFYG+VCJ+q4NYij3rl0CBQZvJPEzphPWwgMdrNsuLRiQTM4co5kgazQPASUJ/Kbkbmz9jCYjLH3
PZc+2JkauLnOZyDaohtwTkMmVz1VmlbtIW95PcNpjJKIq9Wi/qoL03uaJmGFdeuyGibawjl7Mueg
TXyz2Xu1U2RXkh3yKeBoL6FJetOrBHr1iATU/dGS3LevHfCTJMPk2qclIo38E7et9q2SNH44VHVz
bTC5MlpUW/u0bMQ9vJykPEHh8DHhus1vv9KtNCj0mHW7lxV6gBpS2yizJ1N0As1pdmfHmw2cZ/8t
sPpPCaxorpBs/wfK/Lx4hw76d33Vnz/0l3vV+sMy8bmjkxKrWdSns/rL8K6bf+i647i2a6Br+lLG
/0NfZbrr35Di8I9W8C/esfkH3xabhSqegfXn/kvKfNsWf5dW0S+aAGHQ5/MIBOjjf5GfyyFfQ6q4
Kiyie0OTPVOXDN3OLDvvwUZoXR8B23JPd1gAyQumJmYLicP6Z4GnoKYIR2G5MLgq/TTaa4SHyed+
bouzxxobCqZTyR+EgblvNiwTiuEYfc6YGaGv5RJ1a5qWJ1gZ+c7J/SHshqy6ZE2r1W9V0tSIavsG
I9MsmKkRIkswtcESHPWP/zakXLUHT2eKJbt2dtAETb13T9XnhkBckwsSx87amkQ/VAGYNw/hb6cl
33tZqPJQyzqHJwM8g1PE1nFE7bSiJC8XGWWKwArtkGeOtyKxALDtvLZYmlutFE8XtqbEylvNmRUd
OuWYcsLE1upaSTC2ZXsFwggS1e0QaxIeRA8KB11ohC+9w7A1l/3I9hus+4iHdgA4JxJiiD5Js1fj
ss0TaPvolSplQ6yrsprVYdlzJK6Ozopzs/IMBmVT51vkWyceVboI7ayhC8odkKyknjGFS9ycWX9P
mfNzieZ5dVp1ZTzb4RDXKcwpOoN4b3ALyZtbdms8XCXvdY5+MrA1k5mVhTJEJRWYF23Yxyxcn3JS
e9MNQzhKEFGND7S39s7xV3hek+XbseiLYM7nJExr1e4Gr8wv3KTmvlZWyQ6p6/d5NbSEaVU1aPah
6I/ewG3Vs/0qy4rkNCeJ72j72Y0nBa2nFeeh1SEIzwiqPiCEiB5kSahoVGmwWvOIkfCiDc1dkTkv
TGPjBzht6p65q/tQNPnwlpQeeb2+YG/WJNMDn4d6NwMSRHo8Rfdkcs3fSLfSjGDsEX9ELlc6E1CX
VK48ek2ayTxMiaNRwqHy2Sip+UzipXmJAD2h+NPI9xXguOfXZl0duVHhvLSOqJ7UjMIDom2C/djO
GGUHaSndKSDUbDlW0nBg87EFYxNcdccRB8R+LPL41aQmPvs0rM1GNPb4zEgOfI4H/S0Le7yKv8Vo
4TQwXeDXm7iuqi2jyWWDldW+p313j3K0nzOQPCrrSTIlq5hKcIZMhRB5KapNJIGG93FsnMU0ETpl
4TDoMlQKm75QUBoLp3qVDCT3A2P2D+r3b6KVQ9AVnnfinS6J7aZAmFXjXZe5mB4iRyUnVhnymTZ3
+Y7ltGRjNk7GZ1ZL/UyXSevStqZ7GovJ31lZ82vw2+ggbPpm8I3EhzC1JbjQ67/jGS2+zSjYv5kj
MPDAbr38Wwsuhj0D3zBH6+Reh2e5ZWvW7dLGOY81A2B4VMU+Y+t8V/mVfRonFhJkYeQgLvhZ7U5k
q8cPbjUcMQII7qsomxhYNIj56zg3+RSzO0lsbyo2aaepEEXJDDy3b6BhYxTkdemokopVz6Izxlfj
qdZ9sEBYA14tVzPvOk2+MDl5yhrN/TnZNW04Ybc4OO0ROWxgNEv27MrMotCeo4veIWNnoELwZxof
fUu515l5Dl+NXj0thVcAWNfrT6fX2W6MS31vEsr60Y41TCyhrcbUcmzOcRZbL3GCLMdpWXrBqW6Z
ti9+fLUM0b91zMQJYojXqGkWjrkQeAknCZKqid8VzsxfBVKYQA3thUzkcWuDHwuToTe/G1gnDqbm
GkyOx3G+GMCIQ4sRPqvbzkCJk0P/uIl2ontEvp4ww/bqhzxTq3ClEyTy9ZMgBiOtCOeIMPJukpKa
7mAk3fRYj5YiyToezaehi7yPfCxJZe7T3jADryDOj2HS/Gjhe7/UQ2W/Myivz/5KMURILjjnet0E
8ojWl/0BVkQmGJZ+ZYwqnmehqZsbr8nLcW+OoTDtFcSWJkeAZQOwy1l4F00Y9U2lKucjatdBp0+f
SCqqR4Bs8zEGoBnwS7HpZpE62nnj7ztS6i6EnaDB8Brv06ql/bvWrJ9p0xoX4Q6qI20PVxRV5baV
mcaXXMuvWOe9q2/m+SXRkWbhWvpMdIMgaZ3hhjVNL7Uun5jL64EnZEKFiEUj7Z2EHGNh7/V08R9a
IWtid4yEFkaNirw2FCf5ELOwSaNQVlJ8S1vb2mexre/4vn9mS+U9toYag4QRynPsCk4QiGunMcvL
rZSRXVztmiw9W1XDta70+MB0FvGeU6I8tISoH/jklmGl++N9iqv9J80RqxoD4v0d/n7vNaatOPEI
59BgdBLUdkNpXeR2eV9GGuoPUHZHQYZ8oCsdPpfS04sGiRqSRFXvux7wJMum7s2QMgkLj/y9wc1/
dKitsxbNz8L1eEFpGOM5p+K/t7wW172qAY2XiRHM5qR+C2LqMLHO/VOmOwQCWiPB2THWMstD1GYS
g/i0RmXfHN3t9qNvYnaFdng3xJkptpAFV6GsUaLNk4l2HPszAtIksCvkpLpV/Ginsd/FI353lMeC
xHcGqBx7PxKv+CXzVB1NjB8QY3L4jjb/LwJetJlt2zkQGqwf9aywwiFl3UQGq8DLr2WfPqZqzs5E
23cAtjeWioqHDEDqyVDAz5sua1E8x8iB2sI/mFatdv+HvTNpjhtJt+x/6T3K4BgcwKI3MSIiOIVI
kZI2MEqiMM8zfn0fsLLeI4PRwc603rRZm1WlWVZlygOAw+H+ffeeaw3svJQ+N7d457sDfH66eskA
kAFltbKCitbQYcy7tU7o66/G7MlcR2xFhjKynTGQLuQc1HjmNYC/ws2MlMN/4WibXJi/SrU4tq3N
1iGkEWtE05YlWqFOoXwjWI3GeiDDTRhP7DASKp2xmt9YRXW0Zr1UDc2sT9uFmsb9bMoCiw0nLMrB
j2RVgZYPHspChhkJ9Hjp4cj7G88gExaIxxenHvptIlvHNcbIJ98uPVLpvqO/E5B0iZptQrmylMlI
Em0rVpyIkm3dICxoJhzrBrHJtLJasc06nROsYum3Cs3lBWu79dAYWujSg8uppouX0pPK2hwjHPsp
1QctpE7TeZRL6Ii3x14TmObTsVwTiZZReFNALHTZUSpoEBzCaxad2WJ5dIp2N1ADcKPMJ+USQuk+
pbGUhOYPw7O+/v+z1P/JWQrEh3GxRXb9HGYv7/pj//43/jpISfkvR5cmfW/NlPa7gxTBzLR/LIMn
PtuV51iZ//hUrH+x7+bbBSlZs8n25jT3HxIQhy+wQiacbeGonNmsv9MgY4jinZGX9Dtd5c8BX0aD
bE6ifmvkHR3ibppRmVwkBaPDlLzGif/mZHmu0/VhCLg7nP1ILeMn09Z7PwQIzQQotjO5RKXTGLYX
eL0g6HFL/+v8+g9GmS/0jVsbtMgwmAGjWNmPWvmRDy+N+VnL7pMLOYGgYT4wqFswRDux1hzhb5fT
z8tXMf8R7x4HtF/c8NIhKRvz+WkwqKSCnXUKkpyez8qiUxx/GRb5MU3LLRbvdHt5tA8P/3W0V8MT
53U546be3jNrMIeGGmeFhtc3qb3ylzC1hnXiF8nq7w8F0g1K3uxYN06bnWoti0EbBBcW2P7DQBbv
wo86ca02gHAuD3XCqpvDnmhHW6CtZj8XUd3vrwp8mjomOkNlqJ+u4qSJXYlmaOkN07Ao/SHdAsIY
/+7cYNC5FKFjL+PMdzqoGXpCU8hhcceYu6gZ/EVWtrHAY/yZ+/5D33geipgnLDlktnOYf399sa4U
U1EolYuoGRVR4hEhppR2tIs1uoLkNZR37CGHRZxMwXWbDMMn93eeFadzFDgfyxYoMpamk1kz+kYR
qLFfu3YKaB0LgbGQZf/18kM8xRvMDxHsAE48dV4iZ9zi26k5CKTFjaNVbtOUYmv1GIsReOreTaKp
kzuN4IW6FnhNXtEPvDz0ufmjw2XTZkD9DJ94PzRMwkH4ml651PLHdaEToERHHtGRpahExOh+gPIy
aLz15WFhen98++mYGVwsRAw2strJna0ThSgppLbQXbPqV25J9LmhCm/d6ll1TI8sLUKJPDgxaIwp
bLSbodZ5BNEgtuPQ9duwqKpHLZh0sQynOlpVjXXUzLQzOTIN/ZVTsW/KvUpd6Q1aVwFa/D5UNfir
VtpGGOeQQluRFR2IsrSWdl78IC+GFCK7JkVLdG6LDpbGZ6AuFNrEGGSt4DopCsRxZZuzqeIMJKs2
2gVqYh2Q7srvSgptijPrGFyrpSIP9Erp02KQWQeKSWiNn7ZM1KFJVjTU26vWQUwLdxeCZcFeOrLK
X1JLrb0XpvraVqBG1NaUbg2tvjJirflKyrZx7D22XEprJetcr6KdkXKgTVphbOqYNdRCinVtqxwt
IlDcCxah7otuNfwhsd1cIZLiCM2WnhyIsRbXHgFqbo5waunnbXD0oq7/5TREBHWT3tZL6Q1Mgw7d
AeWUlz6T3regIN9lBTx6+ip7aeok9oiXqhpIzjVro/mjcDALlkOUNI8QHOxgM8jGOHa0zZfWfINN
QJc5J3Tsas0cGjaakqaj11yBhtPBR0LDX3vQayC31QTtECNl0d+IlBvO1S8NGMtFPzazF3P4akza
iwMN7/uggXAyWiX81sRQzdQRONmiCniRst54mZq8chZBX05uVLJiREnBQzC9qXlsVf68dOB3RMio
9qlj1o/hPPXRaVuHFInHdZH23lo3K6QXnH7APmnRzs/0buVU2Fjp2apbmuUTNQUpfSAao4clG4wn
CRu2TzSFobnIQxhAmyAylBHnn9SO3ciMunsY8e19A8JoOVXsxZHghjhTfbpHauLFe5u1l+Z63q6x
mRu3tsPtxBYrvFVaFdpKY9t00/ROFO0iTaaI6cqwRFUWCjSHwFK+0Gz3j6MfqvcRTpKBokVo3qIC
jLaBDyFUGJX3E4Emrd5BU7wbrXdQK8aBZbVzJxXAhecZt/C7tRWKQblEgWnsx6Iqr0oF9LFIp25H
eVHeeYqubGn86XeWSP2r3jAfvbREfU5nlvaW2aluG5RSw4nYUCnAxDAQZBp4PxuSmVCJ9Hmz0KlK
b/MxsP8YUWz/UXyvWdakFh0qIBg/A0cVa7+lkgoU1VbXSt1gVcid+X54ML9WYhowyNbcyboj0B54
g+qKWoxuiqL1KvF940GlprX2RhuQkg7dakuAdbVF/9t/szWvo9FvBkc1LVUOjdDL5iMxabxWCHcj
JePll4gB7pUcXm5afeifKxD9yHN95xYpgP6QOA1RpMglYDWUwjz0mj/ecSieNrTE7TtYA9nzGJj9
sRqJYhiwT94MdSmvUM2PM/LCPMQFSQSiNAmPGBt5X1A555g1gn3oFbtbmiqhKWhB58Ur0bzmWE2q
lS2ILostQreluaIYjhbZ69U/BpbFdBEkeXBPiTD6TVW/dkXHIhQTObBlapirAdTOphiLetvkPdFr
dRHWKzaUtFpVozwkvaQjHuRl8DBpKd1Iv6OPyksT4Fh0LKQYVjbt+bX+gwZSek9duTygtppjlz28
Y5HMVFKg0sjZQTwyN3Qk5coyfGdn1k6+AVKD+UudlU1BDI88kzpzwp7pQhwQmjVJXdVOqUgUB8dg
jxsafArZz62HxEbFQ9LBz0YolLPB0Wjg3WVsAn72ZdOwjHXxMQFDtg0ilbBXVoEfYehM67yzLJew
pu7FUrNpgyDePGiZyLZ9HlKptpWoeK7jXPxEAENhN6FT8qcm5PRx5JB8i7QP09T8j2uZNLHOoOsc
Bx+d8WRa/S0J80Rn2CN+TzsmlIE5/BpwSIFO4F0GUs6Q4VRAJgL2jVp/nNkdetKoP2PEz08WvotV
R148Hq9KV9DMy/E6K+iNatgZvxjZ4H2PjCB/7MI03b6GYmBs89bhJFS+1TPFrlTJ4xjaeC/z9hm9
YbOzLWnH1NwiUBke2BI+7yiBx6q7cRpcpP/OPqgwMpFejEJCKLP/ZxT54GLWpb9vFwJtMUYlyN92
l+7hZcI+t3LZUDCKpgl3+exPVYH4uk4Yy3uBGuhbU3fTMTRqHl0xBxKYhQ2UvZ/DFrDrMCzIMm8/
EESwEJS8l/RWlYcilH0/c1MawvAAmMNSISMm0YPfjuCfjmkh3KeVNA+eyJ2tL+t6hbIJuUDJfnPL
QRS7WqHEjz2urG1GWMr9DJtfm0YFqxyJwNaPcWsR1DK5YIgQukUWCQjSUta6AGeeOzU9XQ8AnF6N
xrNIy2SdFUxwCmvxHqt3uCS/G/yfoWYvEd/wnVar9QNO1emRieTfyUDxCeVunfssSgmeMWospFWR
be1Kl98azqJ4NULNg96fsRWv04y8bE8Z7mC645pR1O6lyzzlK5gAbzk1wHpWNpm4/35OMZzjP6PK
jx0Mvd+oRiFuzDBRHnwIcXfoTMZ9lGjtWjGH8HvW1vbRybthoyDee9Lb0XjqKsV4Im15vOFLJTeI
j5XVGIbKSimMwLU8nJaTr1Rf8iDN1lqVpWtSR4eb17vemMSR5LVt32pzwB4VQz58dXSg/iswWYCV
z1qUQDkTcUOFXT0g2s/WmRM1u3Rs9HVBBOQScpLBS2w5477VxuTWs4W/EyhJaHrNAS+TLaYjSeL4
Xyk1HCYiz26oonnrNLF8MBLIhrDfZ/GtWkbpTo6D/OZ4qL8aTzVMgvD4GCIy4PFP5XQd1/l0LRDB
AOtx9HSpjnHAEijEl0AJf9IQGm5YFMadVnjZrVVNE/0wk3g1Wifjo4oYwlzAIYwwwI1U/UTsXCUA
UnExWNEtwXdIKHQtxiefmgcYBAgusTfiKiuG29Kq+XTjSoGEWuZ0boYpteKVRuoJ/kkROGu+Td2O
aieSBs+oi2vIA5lYko6RP7T5kG1aFhz2QJmFqtPQmtsSWciyaiVt1SCZaEeIYk8pbVbtk0JDaGqm
PNSvOVzIm9gxG1hFE6qqJPPUvJqNibkCbw+GVbubWU7FHBsisuRRbZlOaTGxrXZC8VP1jfHaSNGd
Gn1PHgTk8RbYKxFHCqXRfVDzYoYosQjb6KdjFVvWXvbGuLabsQLXqnUFSpSOVPDUkUgtmm5msGW1
Ph1V3OcBYpgk50DK3zzQxPFx86GRvGobBa4o/+gdZeAZVjbRf6oJ9NyGqj7taHZKQrrD7XxFt1Yw
aMvJMYMbYlDI4mjD9F4bYurMdpStp+K1lJtDu9BNSAUjkesR34byHkrkiNgrVA6+1921SIexJwM9
6iPlxSZ8i/jy7Jve4hZNIppAXEa8StScldP062pj21W/pl+jbT0v7MAFeM2BxMiqhRmsWmt2iMG+
mExQzcF4pxUzMamW6S8rU37Vk3k7aLW+0YY+nfdt5Q4ZkoZRIXzo8wDeh43Ll9UK/wNpKEI1spXv
cbyj5/ZNyUDYNpGOuyGsS29l9zOWWq+alWrTDs7MgqRfC1MEBkjszYtWkwYrdnY9FN51kQU+AUc+
cIowyYk307t2O9Fn++G3nenGg0joTLZDtx6w/N8XsE/wnPpqCYZFCw5BJIu7LIuLb4qPKZqvOq56
pWh/FZ0l7y0BBY4+QRHv2m6c9lrowKaAYuAqAarmVe6XBk2CarqLfFndF6BV113aWhDuhipdyUnK
9QAhZOnBpdgmhORusKBTjVOTcI/EecRB15AyVU3pQdDrdtEjm0616nMfdsDGxnoRH+rsJ9t78Z1s
OvtaOG2jLivNzI9dGeFY1PK2v/Mm2h7NGDjbSAnqTWO3vIppqtIoQ9+HIqHiKa6Qef00AgM/YAc9
+dbA4H/MzCbftOFYfZcV+ysEyYF2MxJ6/h1ltLWPEUM+eaOlerTKW/1Rnb+QUqTYVwI7cIcsaw9B
aBvXQVo3T4h4TReIar+HLN4demWMfzVGRNhUIHi4edt4d51VpL/TGk51J4XxXNdRjoIPAfZexJpx
VTWcwKXCARsCW4ZpKqyNdj0qjfFVh9a2jj1TxHNqbHCTK+NL3Fn2Ny23MuzQk730/WTamHUSLaOO
hhh7vIlPISlT7aIlLXQlx4qVLEoiNyq6hOw5iyZRwtd2P3KqWOUwM3Ae2Su/LqZVHaYPShKSu4tS
wmeVX1CztVeZM3IoFsVTpUfE1cuE6gVWmxLlLDvjbe7I9IEeVn7VTIm2o+fFVoqQmtHz6aLFhd0q
rl73SupyXJLKy9gkLeIwcMGilfZjo+C84txpbznFgH9RQu9roivNFR/FhG5FFT0PQs+/RmVcfiva
YrC2hWKOAmRYGcbbLp+jO4nbpQWiNNkRGVCf4UIMhx8oZQgKb6serIHWvtBj6uH02eJqcOzsoLOz
/ZUVRHSOwApXUolvphzHH0IuBYBjbJXLnkd1RcwV7WiUcc0NhUD/hrY2DjWYXfWa5IfyGkaIt6wr
YMi8/7+BDtO75ptGWjISP6yTzbR38rq9i1WKDIafBI9DVet8uGh2CZh0x7rQ85+UwX4YUd3/MMbh
fmpJudlYEnGekvViG5UTK3uh6HAL2uTenhvxyyAoqy+mipYGYFG9kUGrYozoWixdgYHANDe2dJas
Ky0mfXkRV621CwgrdQnu9X9i1iDGgZUQHaaCqt8frAeOOnxPfCf94ZEDtCp858kYjP6gFkJDrCI1
7Mllc2+Exm8rsenvUdT66YO52XQxImHu2xhdO87Ub7sK6LkD6HiLq2GoqK9wU3TPerK6wHgIuxyJ
fhvywlZ4DKGmdEtaaM7GVMxtowfaHWeQRxbk+HYoJrmH8UgTvG8kSKXMe86dGG5a1duUCQGe4H5E
Ug+HBEt/xe4WI0q5BFuQfcmQ4rPDBZeQps2uscf06IWKvLNK1cdaIbUbEXT6H+EjT8qjvlhX8Oj2
HkT2WzA0wVVixua9UURO5i/HCej+94hmohcAzEtZbtcdIM/V1Azq0fNaCUq8aJd5E+fbEXHsfcOK
Ozt4i7WDKGFbJe2D3xK7O1iq3Ot+Pm6bvvpBbKblRsBxlj0bwT0LqeKmutNdsZVDu0F+1Q18yZj9
b579aSHyYJ1uip96GcEJtJu25AhAVsfPHN6kehBF6x1gb6JZUcKeyVZrDy3EGpzA6KGcmzCpfNyh
YFOIoa/ywtyUGWVkuu+Vc5ONVfKQpU62SM3R2QZhPbtanfRBajUUr4Ym5MRWpSr1aq9O/S/L5NSA
8zelJW1ySCo7CKEijnZp6ND2rYWrYDXf8/6DzEzlY+qzNzY8uP/sCpMV5Y5fNRmIKwwzHg5hvq9j
37vALJ4tjiBDNF0hyMBEnEgqZ5SJlNYWvwwn6Q9GDvFKlkQS4fSpbn1PuB18sD+B1M07U1W0Yz04
f8rBUB59Xr2vmmbR+zbrHMilUw3eqrYhK8F9zLeqM7T4OspsJRsfuz7Mqk8iDz9WQSn9GriiDErc
qGxpfb0t/eq1I3MrpP5qlYR1ibT7Cnl8cn3J6dYBJfoPKvc6zRaSOW3DFq+JpW8aR35VqkKxR4ar
G/Oh1MotJwD07OQUfNJueSW+nVbOMbZpBttwG+vXaWV5mv4qasup7X/Vr0X60Wt/g0SHQVEn4pq6
krqV9qQ+B958ouypx10uM5+r3pNTJLFa6pphf+geWHoz9b5aubrlG0cTy8F14VMnvTzKuc4Sj3Cu
YSMH1V4r3W9uqkGSWGuk9GBe2yGwIKhHOuOwEOiqPnl+5y7IgPc0Y/10WozzT3kzVDy0GVaxns5S
X2J96fMfpMX+uHw5n41x0lIKzUbD/88cEVpzPcHJMOz0eHmIs5OD+YfHiqloWh8mBxKMvtKayi34
gF37rarttRw869T14TdUjUzJrMMtX1FrRSau7mwPaf/lH/Hx1dNV1aSOyvuHuPa0AWGYRasrOamp
vgD02mDeWkJuL68SBQEIMqNsdXm8j/eV8SybJCzN1IR1+u6BRFNtdHqlm2YDq5Qcj/ivrE/Wk49z
UaeHjv+U+g5cyA+kbF80BMInJdRFotvhYUOWKborK6KgeflyzozERdjQJVE7zyLo91PRgcY8jaOd
uyxtqIaU+qCP1kNRRY+XxznzmIRl4GzlWbFyGXMH682Ul0Ua605l5e4UQpNLnhUbIkmcLUNCRi+P
9NGkauOIfTPUSbORg6qEY8xQbedQvcsMH50xhLvFgARmXXbZ9HUkwmKLO9hDG2009kqtSu876HZl
3UxaAyTGokpYc5ZOK1LEqB5P8d60owKj56DsAA9M117CZtAoM8SdPiVjNlfNOtGaqNlbHZmSfd5S
xhpbmSw5a+MJk+H0yYUaJ5Jyusa0MinuY0km+M887fqRyKHoTtZyT+ugeXLSDO1gZ38ZpQyfUzDF
+zZJaKIkBLYOyLCtGHs+hJWdlCSZQEpailkcprVfU4/dUQMFL8vTL0WP/BRS8CLN43JdQw8GzQ7W
xKsiHQtjn2Me6chqQZ/bLgcjN1waXP2qaWwNFGIcrTjHW1cxsmIeMD6PgfV65fjQWix/WBn0bR3u
ljarG6da/Wnhe/nko3VmrmkOzUgULKRhaKcBuF7aAcQkoAbtElk1HV6BHU99cP2owkEIQa93L0+5
j51fXYenTUy2g+yFhKz3k7vMDVBhRZqDNGswFoY5ycz4T66kXjRbGObNVUD95QGDqH+4PPKZ15e2
NsYGDS3OR/FF5Y+dErQycznrjt86Qit+lBR9H0who5fLQ525SLq8rEYcePjvaQ+d5gibzrHN3LSr
KI1iToeSMSfDKFFW7STZ2PaypssG0V6jcnd58DPXyb6K8C8VPjVSgpNtiBX7IEhQZLu1R5Zp2ZOz
CVB7SUJ89cn35ONIxrxICQuFkeWgMHz/LDkI1j5hOYmr2fbTOBJ4r5HrzVuk6397mrLdQDCFMAoZ
hipPrqnAqN36XQtqSrQQaCXVFz267XtTIhSUv//uDTRIEsSyL0AU0NM9maJ+mBSZkcC1oreuu0ox
ZjmNBAq7NVze+pN7+PEFZDC2NmwNTLpap58vtLMikG3KlSnGQ6ArT+Vk/44G/cHv5Sd7kPm78X5/
ylDocySXxpr/msz45rtCeFY4ZgrdWL1I0G1mOMzIBLcSWDtT1kH2QL99+U6eH9FhK0oWJi/d6efF
KCwbImLslqLbx07xnI/iQa/ictEGuAeCVru6POC5GcnGW3/ddTDiyYw0a84dDXxJV2nb/Zh0GAti
ksjUT4b5uLExVJO8bUMHNsTNnP//N3eys9UhDPmjoTlpyoNi4Y0E66isL1/Mx1WEUUAsQXmYs0Bm
ksfbUQASDsR9CVjOOsdajnvLJGr/WJk8RmVDV400eH3MP1kltY9fSkZl4QDPjOdHnr5qhD81DvqX
2HVM/KR9AhNvmRXxdD04tOpQd8Oqh1ekEZplxMQyT0DbMnzx22Yo/R1JmcmGTLSHaTTnFAtEyn5R
sDmYtwUlyL8D2hj51dF66ZL+a37y688+mDlckY6A7eCLfn/L6EsGGKR4dSlRZetodKK9MlDsuPxg
zs4ydJUI+h1IrafvbGqUfEb8PHGJ18CEmXeuGosH22o+27WceWFNgqdRVUoyYE4ngGklelaUGQvR
UOh0s70AIIQ6bC5fzbkVSLIFsAHqSlRfH+6Zqg0gdmIUBDXYDovP1GAS5lzXyc8uwth5ebhzN49L
IhnIAk4Dxf39I7IJesA4zis6xt7v+d5VoTymlfd0eZhzL8/MXrGQ5HIwOJ3GQx0DVsp5eZBL23fx
KKize+ZvKq75pvJN+1efFNEOFctfcar/WybNuTUPRazBvhrJ4IdDD/UTNdCNLnYxN902mfI8Rdj6
oscimu5ZrreXL/PchOfYozHZ53ji07uZcI2WLOrYLfwi3qbShH+jRcrq8iji3BzhJloanyMdmfPJ
uuq02gDptIxdu+3VxxA7yYbIRUQpRNAnFOit/iu8xnzZ5k13W45ZDALP0reBjbBrGgtJd4kQMlF6
sD96m6Zs20afnW7F2TtvccLmzdRhFZ2sl5VXq2afpnxtBoNaYVM+i8bJsWzA7wst+4kISNKEyNi7
SjIIoXHfkT7u5D8C2rrEWjb7AqrkjiqSs5AjDiMn4Dou38gz95HGFltQyyKfgP3h+8mfWPyGcGC7
DQD/dzGJZqMWKKqwYzj5+Hx5rDO3Q7wKDYmQQil7uo3RBBgZw27Y2nvit0rBAeC6+lyPMPYsJ5tj
4mTzyQ7jzEsnBGV7djR8sT7om7sqGYfKz7m8yPwWhL6y1GjdU8yspoWujeXXsupnB0nWuX//WoVA
zklFig3i6UppEHcI6r7OXc5qN6XsK+S5CflJkgRb3IyjTU7C5RHPPUm2bJQB4Dw5LGXvnyTvSt/U
Rpm7igp2GtwHrUniB4596aRuilv0k/HOLJtcIHso/NAIV1/f0DdbjtSD6hvm3Nqh85FwGxX2lzIv
VzqyuH8ylIMJ25ZsGO3Tj2hhGWGTZhzRhJNnd3BdYDFajTyErRCfLF/n5qjOCzX7EGbJs/b+Lnbo
YrKJyoBbp+1DG+Qvplk+4Dsm/8Yvj2QXNH//68MCoWqaCS2M4srJYxMDBXetnjJ30sBmqlb/pWqr
VUEd4JOBzizMaIvJlNepPGPjmJ/nm+dVTD0yEI8jYOKbZCINW5zRD5en4JyFd7qhfzfG6aqskDls
GIyBqlcsgEQU+9qszS9aKz383VglQ1/tsX9WUHtl5H/N+wqUhknDhny5mOJfq6wrXFjL3CCLUQEY
sAaTmrih3lT7yTCCo+bgG87GzvvuFWq2TWsUGpxuAd0TTL7DrYpaWx2GO1CPCPYAZ4gvk5OiuMgE
7sY8rbHKdqXncIAa/FvYEOwO85BAZ9BDt8FgBVtR1eMugfh50+lBet1BA3ft2HkI87hecoexY1Mr
IqgItZCLQgneej8Va68NTBSDcX+VG8Ck+zBqN5dv77m5yVccIy8WCvoUJ3NTlnXZjJK5iVbwuRya
Zxs0qKErcAjytYc37h+8duy52exRvkcZfzIeXM6s1P0xc6EDzTWnm16Ld32TfbJ5/egvMGaugk7h
jxqBdE6GMYY4ABDgECqsxseiCOeULxv76Vc6Udd0pZetqf3wq+yTI9NpJDkVuHlcqrTcUQ7Xpxsy
p0hLaEsmNRGs598CkoUXdmUoR9TuarKmcc4ZpzRTb93EXblK4N/R4cpYyEut25lIfc2oV3a62iob
Qe7O0kMdxoQrthg/aGM50U9TwDzqB/RAsTVBSG6EpPYCbdsX3r0WG7hqJ5NY4SYyIPUT0L2O+D2r
JileEH6LOzLK4eUMfbnB0cX/nk7mMqibCJsePPtSNz97FOfWdGgaAtgFZQZdzI/qzRoRqrWZZjH5
zmrzDGV45jyr21jAE748k8+tRW/GOd0YEZlGdLcDzN82ZzgL9YYl9MD15UHOfRClbnFaJXoJitz8
I95cjFqSuFbCrnZpOtlL4uMWHMaf8hjIV1CPn5jOzg5GvZIzi4O77XTbKysWoyzhXVECCa8wn7ad
UWyQgSGobMJPbt+5hUBS9udrgWXvw+Y3GUddRkgpQBNXR6225FJ44xPk25cmxLwVyE/u5Ido0vlV
seiscYDFSwX84v2tnOoi4f6yT4sG7P7hpIm9PVX9TqMWv8p1JYBsV87+W0f/Eqpe4I4+ymZIGsSq
zDZkh9yMrxa+ADTang+J+vKTPjdtec5z6hX1W3w8738eUai1QiRk6vZl8aI7/iMxjveJTjP5H4wD
1RW1O+61D5uDulPGoECU43ISLajmNM/ZqPSrvK0++ZCe27ZSnMK9ps5/sU7eQ713kHEjwAKe4oqg
RufWZ8cqN2FPidskLx/SxPmkUHFuAr8Z8nTDGk1kdOSmms7m9y1kuBcH9zRJovsq7z45c+jn5i8n
UppkbB85C5+ci5qZnzYNVsoyo40/mqD40xPKsOwSYS8p3/pLpVBCuKNqtg7LWXCsiFmeVaH8IeTi
yaCo8uSVdu22GrJlrC2YDYKmuvcnB5B4liTwLWt7M1i9/WibrJpY7WtUE0o9QNecS5u59kftNTTt
2OOHQgVU3N7gSSzWAMVeQrvrF+moh+s2HbX7AuUlH3vN/GQ2nbsLzuzUpcTBvD1twBKwWddYxNn5
FdNuaiaxaFTjCXjAgZop8ZOQ7y9P33OPeLZn4Bi0KLae3vYiEv5Yshlyw9Ih/7xoKwLUOP2udFLR
PAIfEaZeHvHMJfJdn93GDkacD6dLR452StRG4saOb6yDapTXGUQe0sPy+imqxAT0Nvh5ecxXvcZJ
VRntjcZN5RXlaHsyu3yF1AFpJ6kr08lZBn0r741AdMsMMMkBPnjyWMA6IPAdydarTtkOmuQxbadm
Tb6Os1X6HsnsJz/qTBETVQJVn3nVtj6cff3BnMCK80bXk4eeTSfCBFWavqm9ag5dkYQNAG4oEjNZ
Oz7oi5GeDPJr0EWXf4h+Zq2cfeHIMQBp0WjT3q+VKtIImTZhim850mmNzOLmUE+mIwLLzDzwuKxd
EyFJxGdBclZCEVkoKX3UkDyOu17v1c04euq3wGDjrTWT+o1tcbYNeqYUtol4g7LH3KLLfRlRZLJk
d2tyqYM1gkFjVZF45gaytNZD0For2z9oeazfx3o23PLa4kQB4zA9BXbr7BPV+q62Y/zJwfzc9dMB
w4NuzR3608IR5bYIbo3O9SfxcB/gz3UHEm2fQpAtm8v3+txQqC/RGuBG57Nx8tWk6VSWgENT18nB
u4NBmi09QxHvnSDxny6P9frcTmf9XP3VOb3yGTw9/meKTNo+DTkcdCb5yZBuQZhMkyG2HlSMVUaE
3kHkqnfXDFp/o2mKf9QaAkQMPSm2RaZW/97V/99ml1+Hv6q8zv8072nlr8jt/0aZ/z9EOKfCavO5
/i+UwMes0TxjX0Dp7OWVBrH7/T//x1//zl8AB+px/1JZLJg4fBTEa+L8f0h4Qv4LdMJMMefEgk6C
t/c/BAcHEh5tTyrMNoZ3rNL/TXAw/qVLg5oQNTB6orz5f4fggByXJeLNVFOBQbHZ4j86fSCqjyfz
uiABAjz1GNxaRUEyeqKkBG30gTaDqWQ8uhbvNF6K2A+icBHqxbWvJcoygdH4u/YQvC8sjFvFEi5d
OeyCqSTNIWcT+2uqNBIeM6TbCyMtxquc/JbkKaQcc5XXk/o70v3BWQhEyCgdaQKPKxK4On2LZDT/
ikbE0nZY+bpuT9xS1V9XhczW9I3IKxxJHAE4K+PrQjjGUrResyBT44r1pYAfXdi4XKJsQj87QuJr
IWpqkMF3RjfgYRvZdL2grmuxYc/rtmN7gQbVOCO8wpBBeM3Gqcct1VquQu1m1+UphK0qzAbk8MpW
i6C25prz1GcDBWhYzUQT+bhNFiP5Y0+DWRdLvUWo2o7DVeCIECP4JCohgHvBkF+1eRJBY8WRZaL2
zjRUtOz06+WkeKQe8NkgrQfhZyvgCYfmHmdYfVcXfQQEDNriL+7IeIhrJ/IgO0t2Gk1l4OI9WJU/
kHFciUVh9HIotpVdgL/WWB2uc8TToZHMqShUV7MNEXYpkfc9BJtGd6kXY0wcCAosutY6TEhoK2da
ippa6LDug7iNyELhKzZwThZpLJwOPyP1UNCtg6CtGO8Q3VhWsSqo7n/v6Jx9qaHC3RHApAy/0dsW
0R+HHK4/fGe0Xr/RQP2l4h5UoNjIJrQgDBaWZ30rQOoZizJFjNv7Mc47AuG4UVUMknVM8IWHpNPo
CJbiIxSnaq0CmpvVwf0tNeduAVcRLlVCPM9qLGI2ncgL93YU52vcuSDsQ7TrcR7cirAYvjSyNUIy
pxJtFTpVkGE/afy9bYM9ZQnlbi81/DKumqnkeiTsNHZsX6vNhEzmOdeK5JcGV0DHWlJL0nRKkDqN
DZp64fOtJQUTV9y+1glxM3Q/2UdpGAnXyNofQWTANp9yw7ybK8om3pnCpxhiqIDOjHRDlK6y7XSc
KxbDXSeIVrZiEsMxyxvBRzmGrgJD1SLIwu7bBcSG+DCnIBJmotXkGUEG33W9at6EjRcBiG0S40ra
0bTPvIk0EiycMBqDZ34jCa8qsX5t4t/8L/bOZDtuJNuyv5Kr5tBCD8OgJg7v3dl3IidYVEP0PczQ
fP3boCKrFFRkaMUb5yQzI0MU6HDAzO6955ztxmRCrqXtnglS6OicZOFL3MY+3bVZ7QDr2JsMa9RR
Gl79kHbzJXZy52Z5sq9Co9PXnm7hjGmMi5m02VWc1D3WU6TOi5EMA6ZV628Vs4Krysmiz1GdzKe2
sWmrqSzfdznYkClxI8KBVbYLk47GYlN338jS7na12/p3ka1x4LeEeRaZ9zhDICitFCguuLtzNivn
DFxRQ2TfDU9OU+EcSHE1AD+0zGd01Shj5TRXEYNm3brljCnxAHTWm+aJGJcRd2ObzbjrZJ9/pSb2
oQZTa6w18jz9VaZc+662iDnDoKuqr7aYonvwaQjNq6x1vsADS3YlsFv+jlo7kGlnBhbOyVUjVX4Y
dDCB2UhquUjTdBOqdNxaZST2o0P7lGgx0pikCziodyJMlJ7sk5Phx/K+jxc2C/fnvhubGx5rEHrm
dPYHgq+dLPT3BCcQRSWsxjsKMid9qK65+IZ5J772c5GQlFOV37xE97FeTXgi6oI56WaqbH016cYh
dNPbvmjFYbKAJ2Y83XdkuNfFyhgmE+6iFQZDD41Gxzc5jQ7RZp7XJJdprljZSaZ7wcBFRRVLcNQD
ktz1SErZsyMGf20Z9XxbjbhDba8dCJykTnOstLowyajsGP6OX7WxhJJpWv1bBOoqgCGAmziPu91o
m9ZnExzs1WyQ/KswU11PaMa3BlHi12bb1ie6ovrimJqzoGuQeWyrqos26Mz1V0H9s7YRuN2mePyJ
qxuIlItTSRqZ0UdvuO31falK79nilKsh8Wl9JFNDHsT9pNyViOKBJEFWfmS02soTyr0wGwjuvJHW
1o4M8yFq/BqxvxMfK8IKrhvMDOu+0RV31o+n7xic+ju61k0aEIcarztiZBpcSYtdZGzclWEo8zBj
WJeBbTbfiwImgTFWPv1ys7pgdJgGmtW057mshpscPyGHZf+iUUy4VsBn4/BgYZm5iHWjWRtmk77k
nTLvU1oXF14tpjt9MMg80NzYv7X9ERCY6MdDNYbEn1ahvRiyEv2qVXX2VPhV8xQJElABYoWPdRYm
JzliUYgHMT/gR5s2DGDTHd7mCYs/1iSdgjsmnbSB9jb2pt4fynzGpRh58sGmhz4RNNGVay0BmEWF
XG0aPdavm84D9OSJsDqWKNF7GFvDhK19KrIgacm3xDJjcR/74bM9es7KUWB3SaWHQQ05dj4aieF+
RRyja0EVlsl11MdD4Ka6/zTNDqxXe2ajF6VO6kEXdcnWRap19pK6vg89RQae5rTAmqJQENsvwCXI
Bh9MVzPQ+DGL+e/h+Df4H86fNjOjvzkcY657/RrL7nvfd386Iv/4yX9nnPmfaCi49BUcx6J7/1NY
tGd9crAAMGIWDglTznJ6/fcR2fxET436iB9j0MzZ9f8fkY1PDL/p3DLOdJcMnn9EAfq18FsUiIz8
DYeL6R8nGr418eLVWr0ngPUtriJ6CgJAZiKYff10d65/HLr/haXlmlZp3/3f//NXVzKZmiMwwPbw
y0goL1FIz6PBlUw8zZgrX+qyGkHBxfLHI/sfVSR/dSWugZSBATPWleXf/9RNB0MRzi04FTwimQxC
qV91CsaM28y/6Rn9xYUwBODjWKpz/Zdes6JQ9at2rvdTl71lefYWaslbyn//4zvHZZylsc03/st3
hGAa4bUz1nu2CH/ji6ZZwXeAHT8m/4tbx7NKSY4kFXHWx0k5WSiFjd+4Zpst2vOoy4zsFFOc2zL9
zYdy/1yZ8UwzqmOMzMDDQvHzsTLzVEH6pE++ZTwMGXHY0+0UjY9Y1R9rpcRvWkm/Nqm5mIUODO2y
6/sfxbaa4VS8mxXg5YYDkIfhfZ+KBsyglrzqIiogrnK0BWr8z0fmXPjdffPe3/v4erltJc08Lut9
3STVncTvtnKISn/ENGL95v1aStmfSt0fN5ThJKvCUot7H3qJs0xBp1dFjXyTmKwC+/oGpFV498+f
RYRQ/+8qS8H907sl6NMpTeZcxR9JRWnHR1UM5RH81P/q1v10pQ/dP6itMfnBXCnO5bTmLPlKxChm
jt++Xr/aixiSOLjpOCi6jo/o/M+fKZKYHG0NHVjPnB/3Z1et+pHW/mDZn6GIa+ilIVmINDa3Tus7
IBB/J1Z09F+XEhRoQvBwej69ko/i2yosHFFwTqUnZlbrWlcwdKe6H69nu5g2fqhXa8NvjW2DlHyv
t0Cv09zyNxbY26Nq6KQEQ0U8oUCNGLRViaMyTorAS0MLiItOMeRlbxM+sUM0G+qi9qhFyPnv3JXJ
gWlV1fwR0CrFRs8GM5BsWnuP0/3N1PrmU+aZUANCIImqUNN6oJLbhx45VtVEOMmQ8kpl3kikVTeB
NiHuHtypaiL70PcISWWWlxtateUdGQ72EaP58LUJ2WgMYAJHhRv+hvD96jSITqVBTO1SbSY7hzxH
ggbyOH4fjSbiaxHyoTPV19uKuN2ryJwJl8WZwTDGCkPYSjL3CTG0en9H2HS9bXSsimkjKXha6I+F
zqebC9bOAgdo4PWlSVA861scJZR4OJ4J1wC0xoiHE7ZC1nAEZA3TtJ2rk6H3TGsKAiaEX2gBRDDz
KYqVcxojI32JRJU/ugMA1Kaz6ufGLcynkM9erzxSOJ7rwpYzv5NaMv49+OfUURPLzejaJN1odps/
dgMRQ0LrCNXVkv4l5NYQrdDUV65M33SD71RiMX4iJOdt7Ibwrnfnihps+e2hGJwmEvCzbQvNnMfX
9/OYFCl3vMXFZR/YVPogBIq0U1FurTiJJEsslCyPSYTZbQU7ObmMrNq/Ipu/fINiZFwaxLztXJkz
4De1QRDOv7x5eUeoFylS4kzGMJn1xOM9oSQhkcyOpwDOc3QvZhz3nJyT7MUn/4NSfqjWpGWlBU5j
8CyEv7RuviNiWK8vDKlqf+3Gofoch7Xmb0wDLDzeoCyZV65etuAxk/lJ4K29H8useDO9uIJ4HMH9
7Fm8dV00ezs1/MeKl/veIoA0DbD5OmQW2A7ZmaivFekMY+GfW0TA6BygsK76cMwcYszqCPJOlGko
7Fz/kZKL187WZy0gkpryiWAT/OO0jVYOZuz4ETVqpJD+lOmrzzhu65e8R7i/jGiV+IqwYxWOt0Pr
q88zJdwOu2CPXEdrTZicBCXOmzkVaPfbLqK54cIV+IL4m17AzLtFWPpkrGEwdA/K6+tn+iUO9Nuc
ZXys+GVbqVlHF04MkMEh0QIj45tw4ih7aSKzPML9KzcQxM0ga9M30GA+kE/XOvKLGFtCpaa1NnXN
sI4LN74k3gh6epQvWRd8Q9Ji98XZSK0oWrEmJja8S1VL0wRsQvy9rH1nX2auWk1u7EK2MuTnupuA
PxYVHSpf8iDMgyhxlydvHXFeq0YjYKMz8h3ZNd97Cb857sa7sjH3faW+yHhKjkXpmgDcyf5nN/Zu
YslLCYV23OhGri5UT/UawXTeIsAERlx72ZOg9D5hr94Wswdjax7pwxR0UTLSWmgpWn3OQ82qOF7H
eT2tS5n6Vxbn2m2j8dZnEjqjUnW4sjoyDeeW1a0Y4Gkby9Zf23xus0hfk04TVwL15Ws+koxkqd5g
0DoY96BBrOMoeaJw2IUv0g+RZeaAoBXyr43TzbxGhWh8FMuLd1lrCa0nAkMLYoIUbwyX0H9bz18d
h4WybVk/yIDyAKATkUXlP61DmEEhrQQpboi4ac/GQHwn8ag8htJvm12uF3KdTnQAC1NWa3fg0m1V
tfsE135AK3D4GqOvqUvYEJHfEQ2CIWjTJvkVvrBqGw+W4Eso6quuWY72lVmdcqPmYRqgrSerwrAR
/XB3ktAf1oULuvJ91R3i5LnPaCjrA6uVWp4RR58NwN89DRNnjLZqQqBCplHarDStd8hddLYdXd2A
UAYzcKyZFbGvxkDNdL2TkTs0e2FJS8VrAzZckNN8w9DU9LbF0OCW96qOwkAQNn8MZ1ncdJK1R4tY
PQaflz5TBfccVNTWStEiRaVKLq3Q1L/4BgxLpTkciSt5JbKO5purK3jUTOQLcDcXfZtcWYmlPms0
066mMe4vwnR+IjxoeBLZJNZiot1lz4azn/1k3pQxNC6CZIGLZM9eQxhNYsVvVbSYtfvkgff5sVXE
75tYdIgQLJqg1y0UbhMsX7bFaMfi/kVzKrkyPTa9ZaZ80JI4fyQGpjy2JSuOXgjjPtGNehFQD1gm
3xdZ8sCYdPMdbCn/hlXmkqrJvg1IBVKH3DPat9tdGfsr04jrYdXTLac7n+csZil1ZsMjkvpFYER6
diiHRvdJ+vEWySBhsOtJNXBo8tpieglhpddJ6RuI6K8L86ErzOI4NFZxhE6o10ElZHOEyybX0kBa
kK/DZkQuf5oGcyxmNp+8Zf0rvCGEWDAQEKFnKcFKdqKKGF6BT/ttRRygEkdbSZLaQ1daMNooB5jj
rsjx9966KY1p9QFR/l47qI2NJPIOo/Bq+vcT0WGcbhx903Qj6/oklilh0Ld9f126Hpk8qU0EVtCJ
KGUWHrc2mfTSUAVrT/ciMj3rIZfnd0NqwQSpDRc+COd7G4iEN6ljmafZOqn1L7aQ+5oWJsnbwFtt
h8mq6fJ+sXCoG3CS2oVhlVq67r2CBpRtTjveU9NaVSnJfxL82t5s8HuMTfiaxU5GHK2ZETyIVoO0
OuMzM+rxEpAaCWhjRLhsaZsSwl9uzZe8rtHXKPcwV2RGp61yb/Q53WraIRkdXWyZPLG+2S7Ltx1x
OqFgg8E7EFrhrGs+8D5jiEr/dXLU7u/P+L8O3pcDMZHUDnpD5mcfq8AaZynZzDLbx0VhH6XqirfK
Wuj0Qz90egE0j6NVnufctjg1+ssFrbkyIPBc1Ux96H8Vr2xc5VGYjVhPJqVOl9RlAfhUOifC/v1z
iRzsnLmdv+lVk9SrXobOPlo8lxappNXGZoJyhxPffmVoNDOi4T92QjO8myk0WG7DaUQnS/v45X0N
LCFeiGCY4S38pqr6dVjNnJJWDPNKzIwWrsY/FwfdTJSp7PR833CYWLvmACCSBAIPASZnJnJLk0vg
C3G8MmfOWJlP0C+Ln3Nibh8lRB79rm7+Raey/D40bBC5YXz8xT7nRcSFksqf79vCIJR2OrUZ+8vg
Ja9lLm/DiS3/75+GXwp1Hgb8CFwJgiBtpw/VUWcrp4iGOt+rhgNpSbImmzVHkxKW2EmzSc76++v9
quBbLug5i/wH58UvfoSy5bBnuwxQWM4G5g04z9cJwBPilnmwekIYNlnHs+bSlb9+34IHMgXdXWwO
xjY2mN+SBu28EhGndiOJnL95In6pswFwIwTD38cbwn35cD+QNQ8uOquEYcKU7ByQxyfGkr97B3/p
WHAVGhV4kRmdo/pdvpWf6mxwOip0yyrZuzYnVxePGUZCt6f97nPIdzPy9uBwJJcxnLXPf/8FmEun
4E+dBJ/zAbTNJeIbVOTHWnQyMhs3yoBSshuicJ/blX/WwtB/KSTn0q4anOnK1xz/sbSnx8yfmjet
doYNswaylfuqjKE8Ry1cxCaXwtpEfc1ZDtLpnsOvf06rsvvWhMyLD8B6qBrff/v/9qt/06/GBr24
D/9zv/oxaalkk9efW9V//NAfrWrP+WTaiKkh1b+3nJe18A81h4BSSAcLWx5tbAEynuf1j1Y1wHob
FQfdk78C1vO38QYjXBd4+t1/1KrGjfbxweTyFu4vXgr83ogD//xSMLfCxDNFxl6IqcyRUyKWblm4
g7mcmnMyWJuxDAl0RKoNWiqKH3RZc2DTreqUxJG8tCp3CW1S1tbxeAA3rYe9MUYAfGrdMr8nUoZz
OFq0QxP299TrI1ps2bxyssvaZN1ygx86dGGPZk/+65L2na+UqbXfnLBk1Y95uAlcc15LHcBgQJ6j
82rVIOZWi3X0sXcr7Xs2euNDZlXF+H1ZbL30SEDfcBlX3qYt0NhHY3rSoa2LnavC8p4OFFP3VaRJ
+1L2nPTXZlxhmiaNpl/NMcNGmKHwX5kXrroiaew15oXx0mjHfN1msXjJs1yYp65XgttCpOveGIcI
JKNBRyFzG4om08KQIUgD2BqNDpShg49bzOUpGtiWsajYa6e1s89t2lHqGKG91ryFwEq4xSOJXNNt
UTkktNqdTHa0r+prQGf4mUHN2gd9VNpz3+XJWnYAs2KdORv1Wo4QYlaN91h3CYoBzx2p/alV6ZeM
aag329CPcmJ0Z7s3r4gEmZuthi//vm2E/SrJoaU7QEn+bEe2ODMhMe7HwVrucoYelyBq37j3AV3g
CGBDuI8ScNeceR3++t7KYZm16A0uO3SPki5QVxOuzFGs2AhHGSQZxz4HFa1tymw7sPOcSPsBbPb+
P4lD53ulbgVl1siSPzfFBT/jWFPmnetyrJ9huXAmc/oifEwhdZNpTCrhuVdLpyeP6b2tkVf6jwLZ
Ef2mPvQfsREBUWiFIu/Eb23jHsscH6OQ9J4Gr6JzBB7SOlhx77zWI8HlO7sXLUqgsZtPfgk0cEW8
QnUyI4MoO5SifKB3mJrZtHZ6IjQ4j4+EePELDEYzRhsvSrm7hQrrZ1iAUMsIO4UZ5tCSIvt19CBg
CZKbzctQ5UO47UjOjQ59rWjKRFXaf0vTirYchL95ZY/LX4vCps13HAb7JgACpTq1cjWdf0HSD3/9
jzaXmPuUqAQT8kbQDiP/dm4868DxliCTMeZrmcFFPb9vdLaG630VSlO/Folyz+9XdOnVjVuludZh
yNG5rJgec39TdqjHoc16EVg243waJKaad21LOKYOLFMEdjTCXtBbGnOmwVGycaDbR0nq2DcRMcyb
zGqAoibosLoFBW5Z7LG4wVaRlfOxpkLQ74II+WQviMXH998Sr4uM9vlEumdgGQ6/rFO7PGUaB8hL
v80JqM2zDr5n5w58zxlBMfMdwyiadFW+fKXMybgDpIro3WU/+Qsfb2njtRX/7E8JJ23hRzRnMWdw
pqw0Hgh/6T56A6GFcCho8MNyMKZt0tT52wymnRRJV1ueKcMkdTJyNAHLRaqhOhG0P8ogrsEYAy7o
SdDxTbKtqTlv9UGM1wof0LPFk0aMZCUNwXNaFoTn2359JgmVQChHTCvHBDGx6khcQWleksU5tZ23
QNrCU+pP/iNfphuvyZAxbtN46smIbbv6uefoHG691BxhBfrWLh1EsQXBAV9ORc6NTPrua4p1zgLS
xmuR+/l4J1yQqJ7JDJ3uyICQPuIGnOl+EQNUFsvBZ66csgtIPMytteOXQAu5ZWQao+b19gOn2K9N
nXooEMqK44cdDvAJzS6zDxGNtYNVLveXFkD42HoeKwijc8UFi+FqYEi6gaZqRhutp/o2Oab4q6K1
64OF6GZX5YJAB5DQ0U1p1OUtajqXMCvSrxEKZrH54Fezt9WGdvpOAWMdw7ZP9qkSxrfc8eZHEcnR
20KkTc8NuJHvFrS6e+k406HGMrqBRR8GVaI9tKnW4guxu3XZZH1FwLxIdrARSSmGnQEIoBz4/8iA
1gWzgRIFGAKNKOMNADt7Es7gEUWAXglexRxaz1A0OyC9dJkCZJzGQRL5dVGQdbJ2hgEpAUxU0w2S
cPbO2NQvW7ctvhNvQb7/LFpiXsepmY5lP4rLfNBu4cAjnUPTSOhwJhRo8hylUnMz21Z8ULq/65U7
kh1KFFvXZORWSxJgMk2G16VCodATqlwmJATfGiVhyrTXODL63RztlEysc52VuvkQEmL6OMR5e5cP
9nXsqOYWqQ86p6gzbkNG7Xel19PFBkUorhpExvvEy+uNHsX658gcAMyH4n6OTPdJdpO5q0gbX/gN
ZeXzftSMlBQmPl78YT/WNEtkbV53pPGs3KKOnU2OvuNMSQECN6RHctPFVbUZEcBu8kWD2KVYAFex
or+PHx8V3Rok/fAS1mORE0AunXRLv04SUNvkuQw0w843ymqqQIx6f2+WmXhOIF11bIWWfiVpYzAM
1+qDci2e6sFKX0a29xOCQXmJHOVlaEVzUXfzhKRyGGs38EoQKB3QhbUiReFuIg39NI2pcZMZbv+m
4Li+TH5UNa9jr+fqJnHbMDr1NKUPUU4SWt20n00iSG/iGDxI5mb0WIUxnml3WvT4OdJ4LpBRgmuv
OMO7m87EWLmavOJ73iM0aeYEvRfB2Tdp0qtnkbjhOsLHde3TKr4a5YCkKivjokH36tWXSNmyCz1s
zHJNpqx2Y2eVs/ZsOWy4Xd5K2e54rAm5f0lkbwdOVT+EstaPmd4+MjBQmzjlOe1S/dkwo0PKrOms
YeT6PAwR7RpaQi1+ss7AUhrHJ+YT0ZUlKnkhAXeRtgCZ3YMeg6yIohWkzGifhxjwvKL0CcwYPTkB
K6bs2fy0S9fmUdEhTRcDMXWwT56YCnqLraBYtWZlB+XQZ8wh83xt1IrnwCRXOwaOwU7hhxglbYRQ
pcsWviVvAniMadbWjYhs91r4yKeqllHLqi3pInRAPYJsJnjf6+F4trT4axk9uHpjnEpEb2vDGusg
KidnC2GnuEMlhzwt5fixJQ05WY/mEhhc66O2kr1LK3Tq4vi6GFtrm1n6dE8/VZ2mztKfMASzQAFd
vmAFUvtk7GB39IV/Y/X0R+tSxvyjadcnq5ib29gpcizKZTdsaNnRUo+HyjhKO5Uo9eDRt6F7EH0K
2JUhzIPe5SHhFIV8jGX8OQWAGuDQBTsdYbN/YLYDYagbMWQ2HdOLusC9oEcEK/ux2LoS1M+qb9PB
XRG0jSZXeNJttwTwO7wJRZ8F9eg0WzuR7I557EerxivyXT0AMa19PriC/XsXppWHi6MJ0w3b4bAX
aQd5LvcBZocMiMaWJH/K6I5uYUyDcIq6E/Y+2yJ+e5KnsbWr7WCao7XlZ8YLWnyxCDzWm2/MDd03
kcdApjLXmfexj4ayRiq491s/3OTL0arGoL3K1dSssC4UVZAXqbtJtKbepHSmAyGFvBiIO16H2O8C
eq+KMalnnjK4D5dzJ2rrgf0tu+hL6BUqKPyxuE77xEKt7FS3shgj9zYn1XwOHM1vV6qn3SagFH3J
DFOPtj5tcl4gnbNg5hoZA9HxDvTKeC6zrttMkjlPkHYipIuuhkWjWLPyogr/7BUKNMNspZyxbP85
kkZ1O4cDQvAiirdNJqez0znOZUMTnBFP02gIux15tKq8P41GM+1EmQAzcPruPh6KYzM0p1rM45o0
vOaqgKr+lXgLfaf6pj0aWDx2bSQeOagNW69r18pr7ZuUdnaOKC7Lsm06FgiJwdHTvgG/Arp0sFsU
g1VeVikp8+58Ky29/jJihwP+6psIoukmAtAGPCRKK5zPmWy14uukxu4aHsl8pcVzm2zQ4zryi+jr
+1oSq+IhdJd2aO4w11naIRzdXRNb3m1l5E81UJn4VOaNR65/qb/2g19fjHAkUELxLByygYBwRMZT
thH0ub1b37Qd/Qkk4K3fDqs2K8PrqoaVTmTHql0mJfXwNMd2heK6FZF3HZl1c83ud+gLdtDfBQN+
7EkhBlsUZEtkno2Q+aOjJuOwFLqdXu2daSmdnCTlmCiNnJP7Ty2DvxBxfWxLvV+ImCN2BJtUyI/e
YdEys25I+t7nMS026tSi2PRlw1mNr4E4+gSfP2XCyHl0ZsF9/qdXX5x5EARpcNIf+yjjqbUJ2csE
8rxNa/PeHfADJk0ycZSgH1mNGld1e4/zoIa9qP5N389YOr0/t8VofcIUXUxSxhJA8/GzMxjUQghx
FdyJmr9dDZG0L7ysMe/LtKOCIhCPD6/oiAJvQ6XPQJJhz6orIy/fR5Dz7v/+bnxszPo6phbs4ot8
yrB/8XFH/iAnM6KY8drWPgwW7QcniU3Sw7zuG1qR5DdjAeejRgWzOAEqRN+SBGlzPqQ99HNPMo/V
hLeEoJiyaP1zH1OvdezGr5nWQ34xK/k1zgn0uIyUkOCAWtcKAdhgVisuYJjlbHes5qjpS7u9Klpl
XBaaO9fH1mSEr+Le3yigSmwQcxlyVi/c7pse6ZZPF8fu5zvT1UiCbOB47BMpqS1qJrWVo4b+rsOZ
1G3nnkloF0C4suyXmSIyC0IxUqVHoWNR4EUUoJDUjfvCQ6Ux5FP3jXWifBOzKu+wYlPG9U3Hnycd
qX7WCyDf54iCWFs2TJ2q2tBCADyd7LZLYk63ExEz2Ik/2F7ZFSMmCFWGO246wpye3xsgBc6BH4bk
/7Y3f9PehHcJzfdv2puX34d/7V+LuouT9vvPPc4/fvLfPU79EwOtJWOMmQYP+B/9Tc/85KA1w/mL
3xJXHKLaf/c3becToZnkFC1Dlz9Uuv/mDZufYJ/xx5e6dgkatP6RW+3D+kKED38RaxvJbsw+Pq4v
tuaOUSO8eZ8tdi1rxkhhutHjTzflLxbwj+/w+0XIOEcmxuf8JcEEDYZW+z6+ZpkBsx+9bl7HHkRL
eGP95u8vhZXwT+vlciliS4S37Ek607M/LxcVgq0mjeBojSqBVJQn+HlMqKzoMAsQMkm/JwVd242z
Y4Pqm6rfXP7jnojAdOlj451doqaMj5uFmc9Uwq7ZQAAf7iFlPgmOvn//CT+uwO+XcCiaWYoZCX20
b7etNkk9NJq9Ywz3o2M94o0ix439A5db8/3vL0Y85scbyqbL/oNj0v6R7PDnG8rEnmoJR87eHqzm
GGWFwZje14pj5oTFMVf2A70Oxvn2j9G+VcFQ52DLyL94H/93FXApj0YhiEvESAc5eFS/VFl+E1DW
UAB373ICszGQFmAH5tjsmwczLawvZjrsItX1b6UtaF21vW6Cu/PrQJt8WcA7La3LuJG4ZOLMWjOX
HB8nfHxn7E9DRH7ZAk2wife6dx0MxcnkVXS0WusmjCrnyunL7NZ1aHAouy0Iuu6jS6mgo0aFH64X
JcIKRWWzVXKeD5mILmSqKaKEijfby2+rxP6K7e+mbyvgdsTPH6mMXiJkXFyCIzlWCaK1AQaus3pu
dlmzCMRKA4ZDOnzHC9YcvDS+IsZKwy+H9842C7kZqsG9HEcLrKjmhkczsh49zQiPaZwwhOu8epUo
9R3Xio82jaJjMtL0cvab6L537TyQIgt0X0VrD83IahxCRSB5Hm5SfYwv8AgGMqY+CcU0nJxId7MN
xpx+Ik1oinzoIqkct0nl+feNhxY6Fg7lqkjoMb+TOcrawF5YjuywD3bpaU9xptqrsjL4e8Q4mvdE
N+Jj5LS75whBkBV1fEEzy4lPwDbbiyrXnQ3AK9KhBp9HpGjS64bBCs1UWDtqkuZWJbn+aFcZ43uF
f1KLE1M+y4QCNQI2Y5w1Qrbvkxh7U5mgbQhp465j0CpQAxPDP8woZ85hGLc39YwVp2i7c+hP1jP5
vP29LS1iBrXYuDBGyyXfnmehmcHvyr4cd2VhPccY0DDBJjLa0scbmUMm/o2OhGOHErddCHTV9aLp
Mjs5XdDerels1bm+Bc7TPFeuA/8qcWsEJaOT7FrflqckROYWzrQpEq/bgrKtilXYe7Q5jegllVl8
4MeeqFsRfYYNORvDTT1l5DJ2WG1Uiq6lKGHydnhuklhh9pLRcKOF4HRMKyHSQ2c+PhWEctMMbk4T
5vV8pUdOdVVM7Bs80RwnV2Bl9BsrbKbXTqv0IOelOcMr0zguuibCBz9eu7mG6DIl2WibhY23bvSG
q0VMjHhfNJg9lTmG27COp+OoifBZZD1pTgI1bRSGw2lEyQI7V2IlAlyFJhHwVJEVYK5sndIplGNQ
OBm2LAYox9mMF3qRJbbhooBktJbiYkqgl3jxqxVaT74xT0xve/2W2EV9byrrBRjXmUj9CB4twyLD
405bBM73diUhbWYtpbDWr8MBMlojjDigS3WhdU1N6m6Y086cvyWR6AQtmWyiRo/UIdQibIuafjNO
ctuPEF3Ie09XFazX3Yyci9Ob2zy0huYVLE+DRjhBi6jTrKzXThE7X8U1Papxi/zUunecemnxZW15
KD3VXUuttl5Zt8UhKQZrpxtxHowKS3QcS74hh2yXyzDP+qV8qaeHyhD5mQVpPhijP6zw/D63FUlw
pi+01YDXK8jr0MT9FnMwJEiCDWBVKF31qyhi0pEXRnnZFeKQK/MB+bq+MkOjDCLRHtEY4svDB70O
M01cgGMkNstHOtt0G0+azLV0u/6SSktd1XZX+IhOefdYEtyrZErHs+8a+QFdMWwSAeuIFLfhc8XY
C0tqy5V1P53gqbq8QKBoxsWTrOVPBvov7GKzfWPNMFWtHAe8QZeiW5Fdbe28PO43LvMa3hN3/FYU
k3aVNSWGs65ESeqljw6ywv3kJ1UeMOKRdDdHmxETq0cumnwnZ88+51YyNIzQZkXpL7Q9SbwLvNj7
yngXep9CLLluQic9iFR4xBPC4y6dpNi0pj0FnpqSPeli5gazdUy4fMUclbTUvdM7zpWbEEELLjN6
Ec4GNc20y6eY26/i8cFg5Vqbti+23KT83hKRgTqR5u5K6zPzjl7cxmW69UScvP0yKoSvTO3mp660
1uiLYY6lddteSqPut1lB/B196XRvZyg3c5eHzLGqN/ooJobdNtu6Udgd2B+Hg0ot1owfSrj+hy7O
XDRy71v9fw/5vznkL/IqOg7/WcNwB+Mu/tf6Nav6P+sYfvzgH2d83/1ELwQsAwfz/+Hu3JbTVpYw
/CqpdS9KJ3S4WKtqAyZ2HNsxSezKvqEUWwGhEzqBpKff3wiUhbBzqIgLauvOBlqjntH0dPfff4NM
aPgl9uf8hrCCaiNygTbFYdC0Hp7zicvyKmuCDBiEwb8Vd+qAIjJYSQ28bdgs+FFD+rFw4/2JOzv6
+7AODv+je46D+YJyE0p0FCqtKDNsuHgPsD34kmR+54l0DeRqc895j8IEnQ52YVADIBStDuR6o860
wADzFuv1hbKpaI6sWMsJubDtp8o3wmsto1mWkuTWJUD8zRA24VUEdl5h/6dW+sLPF7PFWmNJE4Cd
U2Mw1vXoYVv4H7aqTlx8u7DGkoDL0cChHM8znULrULz7uo+lSPRA/UhcZzlar1VzXGuL8BaMU/Yp
0miylpm5PqmKNHiWpWJUWdrnVbz6BtaYgO+8uK/sKp+tsKdvk+1Qj0baqghn3qou3sVrC+NokjsZ
UVxCuz0QwtSxROX7amuYV+ECIs3Vqs7ZLuf2NM9IScJxUBuTBeokMUXmidhgNZ9syhIfggoVbUnV
d1TBo5nKF/Jan4/Xw2T4Xk6tyyBQZ5S1wNmZ28oN3A7X0bwMJ6vSLkYLK1cv/CU2KEms+TSX1yTt
bWp7rUhJRwnF2yN2tTF2Nx0zWeF1nev+1BxK5rtwBYECcSCOqbq5npZEYCIaOeKAjIcZ6XUS3B+T
YZRMttXywSY9/3kbDo0rWJU3XyKFZo1LaC4mcqXF89t1WqlklWI2cXssTkTyNb19tfpjlGq+X1x4
29iSnvygVMx6FAeFVE8LI1ulI3JqWT2WhzQEAZSaJ/kop/R4lmiRdWsvbFmCijShBVLK6W37NlSz
9FI1h+VbM4yiaOQpunlXhlE+I/8g53AUSOEyH1l1pm1G+cIbvjf9VB6vlJJ+nJJfU4qUbyAmHa0K
3b+VKnhSaAgcluWiBvOR1ilHSjAF0pLmqfTpo9oZQZlpj9ebMqqjd2C+cyP9Eqvz4Yxqya1HaQY9
FWFgxY+IyQHcz3M/fBslsWWSwDFpPLid0vZVJlMOniHNZzZpvMr4TMVLJn+UCENZZGjtVRDaY5Ue
y6U6lSnrKom9+gbMcOXN1ouqdTKlzXuE2Qpk5TG21uX9tkxqiJtWlCNMVU9Z0YJVolkMrGk0kJEK
3J8Lj04nD0t/KDoK1iZdMHMjLG984E/WKLIT2gMvknoSUwY/i4KlBCGKOUzWEDNQIzInYBzeSqtK
Vcawwsh3NKgyNtNAAiU9LoAZRPQrBdxerZTlZRwF0FDVpkahmVVUH9P5ElizJqXlo++JFAYMNdp/
k6WuToJFuLhLllVyZySeBWR2vaaGQIm2cLSs5ZtazoR9TGTgT0F9SaOK9QcjS6MHm8L3AnSQAo2h
XlFODx5VSXHoVtDPWsb8Cmy4BMdtBgUT9B7lcKJIdIQayQqZhXwD/xygci2vRkpzZpKzfFZszOhD
Yq0X9C3WYQDYDO/sFa3d58G6vCa1CvVcIi3qXeD3/8Yg7h9EEChRe+Tl1X3hptXMzejB/N02iE+b
4uhP8Z99qTUyrwvakzTtTOxTXES5GMHCi6NONExQe3UMbDOkZrw/kxA4PFbx7P79F3g/2ncANicK
3Fyg9II4Il7TfCzZsDsBwcZW6iBYuXY3PFDRj5Tw8+fbafPn3+k8gfMMhxjIYGo7nvJDHWi0HcG6
/44WjmQcaGE4sHSo4UWkrrmIbh1qwTIGGqcJQzExTeIim8ANz0gLnEsE8L+fFuwBRQIiKCrv5prT
26EWOOIMDCKNFnSd56kFTJ2AmfbSgg5pGSFjUwUh31wvtKCjBZt4qyj7Pa9VwJmWI3Cvx9esARFj
ALkEJ9tJ7iwCeTgYErFkSzi3p9d0Q+39+LwDKqhk0gm7xz/aCQg/g522dvDnM5t9YFxE7fvNvjkg
zG6As6UwRVxsdJ3ZV2wyLibAsvbtOLtFIJg1empBNwc6tRLkgkBti4vYfUcLqkyCCcdTboDyZ2gO
YMcQePpea4GNELNPoZSxNwcsrkMtWPYAYkdST1CzNNfZbQigGkSBUz8tyAMFU8B+tz8AvdQCt4FC
AUjr7jq3NwKmRJGt66UF1RrApUGvqv1UH+8LlgiqwHAEk8iZrgUQPEbvfUEbiFYwzDbMHs3VfSNA
arEvQLyEgTy3VQBYvf/zqzw/WCjR06h94w93BEqOQFPIKHr/ruys8W8dk3/jS999r/HSC54br8tz
s9ecsx99ofU3Xn6+9zUaUlycqs4XhRO2u7fbuIPi7386vkTjCRx82HoGzX32P98/4Mtbd+7VPlX7
z0vPTZ30aSlYMPBE98O8dUJ8t/8EzlcndA6dIQIX7ML/juTvvzrjPNgFfiE484/k6sQ9e8tNvTru
MhDDTsUpur9g34kyJ2sliWkEJcT73lfy2Am8bzGdfzrq2J20esumPCR1nuN2lGLUuxN8f8lR5D7l
3lPRcZWBcGAO+wqfuIGzdbqwHHA2J1B2696/ib+9ARBahF+7agcdd4JVOEXr3nNnPvcmsq9mYAun
KrMrmf2Qg1hfyZdo3PNaOc3y1pp0R1/BV8/OsrMA9y50b7mQ5lPQ3H0jd8ex3qKjZ8rfu1oWFa6t
dnYxsz/Z967i7ZFYWqD0F3v9cm8yFNFttq8mrhFQPPlVK6lZF8Itaf/x56p4Hxde9kLNcF+ewLzc
OF7ktkPcbdVAgNt//PmYb5y0CpzouZUkRKvwbZ5gCm9+RQ/6/WDwZxaXbgQ0gXS6wV1FsTlA9V0k
Nx62IDtKsar47yd4YW68jBIT6D7Wnb2Jolb5RNJpYXQs+iQD/3EvhJ4zeet+TZ2j0xNIVMPuP5O3
7sbp2q191LfvEvkl2ra3TrZv3rlp5nZ2KjwSkSw/xeBv3NJ76pgxhAun9xTCv1Cy1UpqtpSdJ9Vb
dJyCfhg7aYyl7JgdiEhEucJpbvASXoF49QRHkjuarLaDbNQC6fkJNvE7P+BE0vVqVHIzJ7A7d6m7
OM6fNUGBvpr+4EaR6NzgHLkJ9DtSTzDu2TJ+dt9cZS9sm2kIkpC+o9/BcF5biALBc4Ip/RXOp+fu
8gntu1nmdo4U+6xgX918csuuV6mhkxM4rJ9zZ9nOnHh59qmLvsN9cNMQy9aRjCk+wUb4M76ZnvP3
6GRLL1pAJdQddxPH76uRRzfL37w6eCJVJ3CGH73sCYojrzv2XfS999irmJz3oqMVajx+aTNfizR9
T1a/jD+1qfjXftYNrolvPAWuk/7zPwAAAP//</cx:binary>
              </cx:geoCache>
            </cx:geography>
          </cx:layoutPr>
        </cx:series>
      </cx:plotAreaRegion>
    </cx:plotArea>
    <cx:legend pos="r" align="min" overlay="0"/>
  </cx:chart>
  <cx:spPr>
    <a:ln>
      <a:noFill/>
    </a:ln>
    <a:effectLst>
      <a:softEdge rad="0"/>
    </a:effectLst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size">
        <cx:f>_xlchart.v1.13</cx:f>
      </cx:numDim>
    </cx:data>
  </cx:chartData>
  <cx:chart>
    <cx:title pos="t" align="ctr" overlay="0">
      <cx:tx>
        <cx:txData>
          <cx:v>Top 6 ship cities by revenue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>
              <a:solidFill>
                <a:sysClr val="windowText" lastClr="000000"/>
              </a:solidFill>
            </a:defRPr>
          </a:pPr>
          <a:r>
            <a:rPr lang="en-US" sz="1400" b="0">
              <a:solidFill>
                <a:sysClr val="windowText" lastClr="000000"/>
              </a:solidFill>
            </a:rPr>
            <a:t>Top 6 ship cities by revenue</a:t>
          </a:r>
        </a:p>
      </cx:txPr>
    </cx:title>
    <cx:plotArea>
      <cx:plotAreaRegion>
        <cx:series layoutId="treemap" uniqueId="{93662F0C-B5DE-4E6B-825B-96D854338590}">
          <cx:tx>
            <cx:txData>
              <cx:f>_xlchart.v1.12</cx:f>
              <cx:v>Sum of Revenue</cx:v>
            </cx:txData>
          </cx:tx>
          <cx:dataPt idx="0">
            <cx:spPr>
              <a:solidFill>
                <a:schemeClr val="accent5">
                  <a:lumMod val="50000"/>
                </a:schemeClr>
              </a:solidFill>
            </cx:spPr>
          </cx:dataPt>
          <cx:dataPt idx="1">
            <cx:spPr>
              <a:solidFill>
                <a:schemeClr val="accent5">
                  <a:lumMod val="75000"/>
                </a:schemeClr>
              </a:solidFill>
            </cx:spPr>
          </cx:dataPt>
          <cx:dataPt idx="2">
            <cx:spPr>
              <a:solidFill>
                <a:schemeClr val="accent5">
                  <a:lumMod val="60000"/>
                  <a:lumOff val="40000"/>
                </a:schemeClr>
              </a:solidFill>
            </cx:spPr>
          </cx:dataPt>
          <cx:dataPt idx="3">
            <cx:spPr>
              <a:solidFill>
                <a:schemeClr val="accent5">
                  <a:lumMod val="40000"/>
                  <a:lumOff val="60000"/>
                </a:schemeClr>
              </a:solidFill>
            </cx:spPr>
          </cx:dataPt>
          <cx:dataPt idx="4">
            <cx:spPr>
              <a:solidFill>
                <a:schemeClr val="accent5">
                  <a:lumMod val="20000"/>
                  <a:lumOff val="80000"/>
                </a:schemeClr>
              </a:solidFill>
            </cx:spPr>
          </cx:dataPt>
          <cx:dataPt idx="5">
            <cx:spPr>
              <a:solidFill>
                <a:schemeClr val="accent5">
                  <a:lumMod val="20000"/>
                  <a:lumOff val="80000"/>
                </a:schemeClr>
              </a:solidFill>
            </cx:spPr>
          </cx:dataPt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  <cx:spPr>
    <a:ln cap="flat"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microsoft.com/office/2014/relationships/chartEx" Target="../charts/chartEx4.xml"/><Relationship Id="rId3" Type="http://schemas.openxmlformats.org/officeDocument/2006/relationships/image" Target="../media/image3.png"/><Relationship Id="rId7" Type="http://schemas.openxmlformats.org/officeDocument/2006/relationships/chart" Target="../charts/chart10.xml"/><Relationship Id="rId12" Type="http://schemas.openxmlformats.org/officeDocument/2006/relationships/chart" Target="../charts/chart1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microsoft.com/office/2014/relationships/chartEx" Target="../charts/chartEx3.xml"/><Relationship Id="rId5" Type="http://schemas.openxmlformats.org/officeDocument/2006/relationships/image" Target="../media/image5.png"/><Relationship Id="rId10" Type="http://schemas.openxmlformats.org/officeDocument/2006/relationships/chart" Target="../charts/chart13.xml"/><Relationship Id="rId4" Type="http://schemas.openxmlformats.org/officeDocument/2006/relationships/image" Target="../media/image4.png"/><Relationship Id="rId9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0</xdr:row>
      <xdr:rowOff>82550</xdr:rowOff>
    </xdr:from>
    <xdr:to>
      <xdr:col>4</xdr:col>
      <xdr:colOff>584200</xdr:colOff>
      <xdr:row>22</xdr:row>
      <xdr:rowOff>177800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2550" y="82550"/>
          <a:ext cx="2940050" cy="41465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Step 1 </a:t>
          </a:r>
        </a:p>
        <a:p>
          <a:pPr algn="l"/>
          <a:r>
            <a:rPr lang="en-US" sz="900"/>
            <a:t>Dependent</a:t>
          </a:r>
          <a:r>
            <a:rPr lang="en-US" sz="900" baseline="0"/>
            <a:t> Value: Unit Price, Quantity, Revenue, Shipping fee, Categories</a:t>
          </a:r>
        </a:p>
        <a:p>
          <a:pPr algn="l"/>
          <a:r>
            <a:rPr lang="en-US" sz="900" baseline="0"/>
            <a:t>Independent: Customer name, Address, city, Region, Zip code </a:t>
          </a:r>
        </a:p>
        <a:p>
          <a:pPr algn="l"/>
          <a:endParaRPr lang="en-US" sz="900" baseline="0"/>
        </a:p>
        <a:p>
          <a:pPr algn="l"/>
          <a:r>
            <a:rPr lang="en-US" sz="900" baseline="0"/>
            <a:t>Step 2</a:t>
          </a:r>
        </a:p>
        <a:p>
          <a:pPr algn="l"/>
          <a:r>
            <a:rPr lang="en-US" sz="900" baseline="0"/>
            <a:t>Potential questions or Insight drawn from the data set</a:t>
          </a:r>
        </a:p>
        <a:p>
          <a:pPr algn="l"/>
          <a:endParaRPr lang="en-US" sz="900" baseline="0"/>
        </a:p>
        <a:p>
          <a:pPr algn="l"/>
          <a:r>
            <a:rPr lang="en-US" sz="900" baseline="0"/>
            <a:t>1. Which Sales person has the highest revenue</a:t>
          </a:r>
        </a:p>
        <a:p>
          <a:pPr algn="l"/>
          <a:r>
            <a:rPr lang="en-US" sz="900" baseline="0"/>
            <a:t>2. Which customer has the highest purchase unit price</a:t>
          </a:r>
        </a:p>
        <a:p>
          <a:pPr algn="l"/>
          <a:r>
            <a:rPr lang="en-US" sz="900" baseline="0"/>
            <a:t>3. Which Sales person has the highest sales in unit price</a:t>
          </a:r>
        </a:p>
        <a:p>
          <a:pPr algn="l"/>
          <a:r>
            <a:rPr lang="en-US" sz="900" baseline="0"/>
            <a:t>4. Which category has the highest revenue</a:t>
          </a:r>
        </a:p>
        <a:p>
          <a:pPr algn="l"/>
          <a:r>
            <a:rPr lang="en-US" sz="900" baseline="0"/>
            <a:t>5. Which is the best perfoming customer by revenue</a:t>
          </a:r>
        </a:p>
        <a:p>
          <a:pPr algn="l"/>
          <a:r>
            <a:rPr lang="en-US" sz="900" baseline="0"/>
            <a:t>6. Which is the cheapest shipping fee by city</a:t>
          </a:r>
        </a:p>
        <a:p>
          <a:pPr algn="l"/>
          <a:r>
            <a:rPr lang="en-US" sz="900" baseline="0"/>
            <a:t>7. Which is the cheapest shipping fee by region</a:t>
          </a:r>
        </a:p>
        <a:p>
          <a:pPr algn="l"/>
          <a:r>
            <a:rPr lang="en-US" sz="900" baseline="0"/>
            <a:t>8. Which is the cheapest shipping fee by ship name</a:t>
          </a:r>
        </a:p>
        <a:p>
          <a:pPr algn="l"/>
          <a:r>
            <a:rPr lang="en-US" sz="900" baseline="0"/>
            <a:t>9. Which is the cheapest shipping fee by Shipping company</a:t>
          </a:r>
        </a:p>
        <a:p>
          <a:pPr algn="l"/>
          <a:r>
            <a:rPr lang="en-US" sz="900" baseline="0"/>
            <a:t>10 Which is the most common payment method</a:t>
          </a:r>
        </a:p>
        <a:p>
          <a:pPr algn="l"/>
          <a:r>
            <a:rPr lang="en-US" sz="900" baseline="0"/>
            <a:t>11. Which is the cheapest shipping fee by unit price </a:t>
          </a:r>
        </a:p>
        <a:p>
          <a:pPr algn="l"/>
          <a:r>
            <a:rPr lang="en-US" sz="900" baseline="0"/>
            <a:t>12 Which is the cheapest shipping fee by category</a:t>
          </a:r>
        </a:p>
        <a:p>
          <a:pPr algn="l"/>
          <a:r>
            <a:rPr lang="en-US" sz="900" baseline="0"/>
            <a:t>13 Which is the best shipping company by shipping fee</a:t>
          </a:r>
        </a:p>
        <a:p>
          <a:pPr algn="l"/>
          <a:r>
            <a:rPr lang="en-US" sz="900" baseline="0"/>
            <a:t>14 Which is the best shipping state by revenue</a:t>
          </a:r>
        </a:p>
        <a:p>
          <a:pPr algn="l"/>
          <a:r>
            <a:rPr lang="en-US" sz="900" baseline="0"/>
            <a:t>15. Which is the best ship name by revenue</a:t>
          </a:r>
        </a:p>
        <a:p>
          <a:pPr algn="l"/>
          <a:r>
            <a:rPr lang="en-US" sz="900" baseline="0"/>
            <a:t>16. Which is the best shipping state by quantity</a:t>
          </a:r>
        </a:p>
        <a:p>
          <a:pPr algn="l"/>
          <a:r>
            <a:rPr lang="en-US" sz="900" baseline="0"/>
            <a:t>17. Which is the best payment type by revenue </a:t>
          </a:r>
        </a:p>
        <a:p>
          <a:pPr algn="l"/>
          <a:r>
            <a:rPr lang="en-US" sz="900" baseline="0"/>
            <a:t>18. Which is the best product by quantity </a:t>
          </a:r>
          <a:endParaRPr lang="en-US" sz="1100"/>
        </a:p>
      </xdr:txBody>
    </xdr:sp>
    <xdr:clientData/>
  </xdr:twoCellAnchor>
  <xdr:twoCellAnchor>
    <xdr:from>
      <xdr:col>5</xdr:col>
      <xdr:colOff>107950</xdr:colOff>
      <xdr:row>5</xdr:row>
      <xdr:rowOff>0</xdr:rowOff>
    </xdr:from>
    <xdr:to>
      <xdr:col>9</xdr:col>
      <xdr:colOff>488950</xdr:colOff>
      <xdr:row>52</xdr:row>
      <xdr:rowOff>133350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155950" y="920750"/>
          <a:ext cx="2819400" cy="87884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Sales trend report - We are trying to achieve Sales over a period of time</a:t>
          </a:r>
        </a:p>
        <a:p>
          <a:pPr algn="l"/>
          <a:endParaRPr lang="en-US" sz="9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9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HOW: Revenue vs Order</a:t>
          </a:r>
          <a:r>
            <a:rPr lang="en-US" sz="9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date</a:t>
          </a:r>
        </a:p>
        <a:p>
          <a:pPr algn="l"/>
          <a:r>
            <a:rPr lang="en-US" sz="9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Potential Insight: Help us fine the month or day with highest and lowest sales</a:t>
          </a:r>
          <a:endParaRPr lang="en-US" sz="9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900"/>
            <a:t> </a:t>
          </a:r>
        </a:p>
        <a:p>
          <a:pPr algn="l"/>
          <a:r>
            <a:rPr lang="en-US" sz="9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 Top 10 customers</a:t>
          </a:r>
          <a:r>
            <a:rPr lang="en-US" sz="900"/>
            <a:t> - We are trying to see the customers with the op</a:t>
          </a:r>
          <a:r>
            <a:rPr lang="en-US" sz="900" baseline="0"/>
            <a:t> 10 highest revenue </a:t>
          </a:r>
        </a:p>
        <a:p>
          <a:pPr algn="l"/>
          <a:endParaRPr lang="en-US" sz="900" baseline="0"/>
        </a:p>
        <a:p>
          <a:pPr algn="l"/>
          <a:r>
            <a:rPr lang="en-US" sz="900" baseline="0"/>
            <a:t>HOW: Revenue vs Top 10 customers</a:t>
          </a:r>
        </a:p>
        <a:p>
          <a:pPr algn="l"/>
          <a:r>
            <a:rPr lang="en-US" sz="900" baseline="0"/>
            <a:t>Potential insight: Help us to identify the top 10 revenue by customers </a:t>
          </a:r>
        </a:p>
        <a:p>
          <a:pPr algn="l"/>
          <a:endParaRPr lang="en-US" sz="900" baseline="0"/>
        </a:p>
        <a:p>
          <a:pPr algn="l"/>
          <a:r>
            <a:rPr lang="en-US" sz="900"/>
            <a:t>3. Sales by Rep - We are trying to find which Sales person has the highest revenue</a:t>
          </a:r>
        </a:p>
        <a:p>
          <a:pPr algn="l"/>
          <a:endParaRPr lang="en-US" sz="900"/>
        </a:p>
        <a:p>
          <a:pPr algn="l"/>
          <a:r>
            <a:rPr lang="en-US" sz="900"/>
            <a:t>HOW: Sales</a:t>
          </a:r>
          <a:r>
            <a:rPr lang="en-US" sz="900" baseline="0"/>
            <a:t> person vs Revenue</a:t>
          </a:r>
        </a:p>
        <a:p>
          <a:pPr algn="l"/>
          <a:r>
            <a:rPr lang="en-US" sz="900" b="1" baseline="0"/>
            <a:t>Potential Insight: </a:t>
          </a:r>
          <a:r>
            <a:rPr lang="en-US" sz="900" baseline="0"/>
            <a:t>Help us know which sales person generates the hghest revenue</a:t>
          </a:r>
        </a:p>
        <a:p>
          <a:pPr algn="l"/>
          <a:endParaRPr lang="en-US" sz="900" baseline="0"/>
        </a:p>
        <a:p>
          <a:pPr algn="l"/>
          <a:r>
            <a:rPr lang="en-US" sz="900" baseline="0"/>
            <a:t>4. Sales by region - We are trying to find which region generates the highest revenue</a:t>
          </a:r>
        </a:p>
        <a:p>
          <a:pPr algn="l"/>
          <a:endParaRPr lang="en-US" sz="900" baseline="0"/>
        </a:p>
        <a:p>
          <a:pPr algn="l"/>
          <a:r>
            <a:rPr lang="en-US" sz="900" baseline="0"/>
            <a:t>HOW: Region vs Revenue</a:t>
          </a:r>
        </a:p>
        <a:p>
          <a:pPr algn="l"/>
          <a:r>
            <a:rPr lang="en-US" sz="900" b="1" baseline="0"/>
            <a:t>Potential insight: </a:t>
          </a:r>
          <a:r>
            <a:rPr lang="en-US" sz="900" baseline="0"/>
            <a:t>Help us draw conclusion and decision on which region has the highest revenue</a:t>
          </a:r>
        </a:p>
        <a:p>
          <a:pPr algn="l"/>
          <a:endParaRPr lang="en-US" sz="900" baseline="0"/>
        </a:p>
        <a:p>
          <a:pPr algn="l"/>
          <a:r>
            <a:rPr lang="en-US" sz="900" baseline="0"/>
            <a:t>5. Sales by product categories - We are trying to find which category of product has the highest revenue</a:t>
          </a:r>
        </a:p>
        <a:p>
          <a:pPr algn="l"/>
          <a:endParaRPr lang="en-US" sz="900" baseline="0"/>
        </a:p>
        <a:p>
          <a:pPr algn="l"/>
          <a:r>
            <a:rPr lang="en-US" sz="900" baseline="0"/>
            <a:t>HOW: Category vs Revenue</a:t>
          </a:r>
        </a:p>
        <a:p>
          <a:r>
            <a:rPr lang="en-US" sz="900" b="1" baseline="0"/>
            <a:t>Potential Insight: </a:t>
          </a:r>
          <a:r>
            <a:rPr lang="en-US" sz="9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Help us draw conclusion and decision on which product category has the highest revenue</a:t>
          </a:r>
        </a:p>
        <a:p>
          <a:endParaRPr lang="en-US" sz="9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9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6. Top 6 ship cities - We are trying to find which shipping city generates highest revenue</a:t>
          </a:r>
        </a:p>
        <a:p>
          <a:endParaRPr lang="en-US" sz="9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9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HOW: Ship city vs Revenue</a:t>
          </a:r>
        </a:p>
        <a:p>
          <a:r>
            <a:rPr lang="en-US" sz="9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Potential Insight: </a:t>
          </a:r>
          <a:r>
            <a:rPr lang="en-US" sz="9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help us draw conclusion on which city generate the highest revenue </a:t>
          </a:r>
        </a:p>
        <a:p>
          <a:endParaRPr lang="en-US" sz="9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9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7. Top 5 cities - We are trying to find which 5 cities has the highest revenue</a:t>
          </a:r>
        </a:p>
        <a:p>
          <a:endParaRPr lang="en-US" sz="9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9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HOW: City vs Revenue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Potential Insight: </a:t>
          </a:r>
          <a:r>
            <a:rPr lang="en-US" sz="9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Help us draw conclusion and decision on which city has the highest revenue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8. State Performance - We want to know each state revenue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HOW:  State vs Revenue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Potetial Insight: </a:t>
          </a:r>
          <a:r>
            <a:rPr lang="en-US" sz="9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help us draw conclusion on which state generate the highest revenue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9. Transaction by amount - We want to know the number of transaction made per sales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HOW: Revenue vs Revenue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Potential Insight: </a:t>
          </a:r>
          <a:r>
            <a:rPr lang="en-US" sz="9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help us know how many transaction was made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1">
            <a:effectLst/>
          </a:endParaRPr>
        </a:p>
        <a:p>
          <a:endParaRPr lang="en-US" sz="900">
            <a:effectLst/>
          </a:endParaRPr>
        </a:p>
        <a:p>
          <a:pPr algn="l"/>
          <a:endParaRPr lang="en-US" sz="900" baseline="0"/>
        </a:p>
        <a:p>
          <a:pPr algn="l"/>
          <a:endParaRPr lang="en-US" sz="900"/>
        </a:p>
      </xdr:txBody>
    </xdr:sp>
    <xdr:clientData/>
  </xdr:twoCellAnchor>
  <xdr:twoCellAnchor>
    <xdr:from>
      <xdr:col>9</xdr:col>
      <xdr:colOff>520700</xdr:colOff>
      <xdr:row>0</xdr:row>
      <xdr:rowOff>120650</xdr:rowOff>
    </xdr:from>
    <xdr:to>
      <xdr:col>15</xdr:col>
      <xdr:colOff>514350</xdr:colOff>
      <xdr:row>52</xdr:row>
      <xdr:rowOff>63500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007100" y="120650"/>
          <a:ext cx="3651250" cy="95186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9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Sales Trend Analysis Report</a:t>
          </a:r>
        </a:p>
        <a:p>
          <a:pPr algn="l"/>
          <a:r>
            <a:rPr lang="en-US" sz="9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Objective: </a:t>
          </a:r>
          <a:r>
            <a:rPr lang="en-US" sz="9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Analyze sales performance over time to identify trends and opportunities.</a:t>
          </a:r>
        </a:p>
        <a:p>
          <a:pPr algn="l"/>
          <a:r>
            <a:rPr lang="en-US" sz="9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Analysis: </a:t>
          </a:r>
          <a:r>
            <a:rPr lang="en-US" sz="9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Compare revenue generated against order dates to track sales trends.</a:t>
          </a:r>
        </a:p>
        <a:p>
          <a:pPr algn="l"/>
          <a:endParaRPr lang="en-US" sz="9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9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Key Insights:</a:t>
          </a:r>
        </a:p>
        <a:p>
          <a:pPr algn="l"/>
          <a:r>
            <a:rPr lang="en-US" sz="9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Identify the month/day with the highest sales</a:t>
          </a:r>
        </a:p>
        <a:p>
          <a:pPr algn="l"/>
          <a:r>
            <a:rPr lang="en-US" sz="9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Identify the month/day with the lowest salesLet me know if you'd like me to tweak anything!</a:t>
          </a:r>
        </a:p>
        <a:p>
          <a:pPr algn="l"/>
          <a:endParaRPr lang="en-US" sz="9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9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Top 10 Customers by Revenue</a:t>
          </a:r>
        </a:p>
        <a:p>
          <a:pPr algn="l"/>
          <a:r>
            <a:rPr lang="en-US" sz="9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Objective: </a:t>
          </a:r>
          <a:r>
            <a:rPr lang="en-US" sz="9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Identify the top 10 customers generating the highest revenue.</a:t>
          </a:r>
        </a:p>
        <a:p>
          <a:pPr algn="l"/>
          <a:r>
            <a:rPr lang="en-US" sz="9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Analysis: </a:t>
          </a:r>
          <a:r>
            <a:rPr lang="en-US" sz="9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Rank customers by total revenue generated.</a:t>
          </a:r>
        </a:p>
        <a:p>
          <a:pPr algn="l"/>
          <a:endParaRPr lang="en-US" sz="9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9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Key Insight: </a:t>
          </a:r>
          <a:r>
            <a:rPr lang="en-US" sz="9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Determine which customers drive the most revenue for the business.</a:t>
          </a:r>
        </a:p>
        <a:p>
          <a:pPr algn="l"/>
          <a:endParaRPr lang="en-US" sz="9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9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en-US" sz="900" b="0"/>
            <a:t>Sales by Rep </a:t>
          </a:r>
        </a:p>
        <a:p>
          <a:r>
            <a:rPr lang="en-US" sz="900" b="1"/>
            <a:t>Objective:</a:t>
          </a:r>
          <a:r>
            <a:rPr lang="en-US" sz="900"/>
            <a:t> Evaluate revenue performance by sales representative to identify top contributors</a:t>
          </a:r>
          <a:br>
            <a:rPr lang="en-US" sz="900"/>
          </a:br>
          <a:r>
            <a:rPr lang="en-US" sz="900" b="1"/>
            <a:t>Methodology:</a:t>
          </a:r>
          <a:r>
            <a:rPr lang="en-US" sz="900"/>
            <a:t> Compare total revenue generated by each sales representative</a:t>
          </a:r>
        </a:p>
        <a:p>
          <a:br>
            <a:rPr lang="en-US" sz="900"/>
          </a:br>
          <a:r>
            <a:rPr lang="en-US" sz="900" b="1"/>
            <a:t>Key Insight:</a:t>
          </a:r>
          <a:r>
            <a:rPr lang="en-US" sz="900"/>
            <a:t> Provides visibility into individual sales performance and supports data-driven sales strategy decisions</a:t>
          </a:r>
        </a:p>
        <a:p>
          <a:endParaRPr lang="en-US" sz="900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1"/>
        </a:p>
        <a:p>
          <a:endParaRPr lang="en-US" sz="900" b="0"/>
        </a:p>
        <a:p>
          <a:endParaRPr lang="en-US" sz="900" b="0"/>
        </a:p>
        <a:p>
          <a:endParaRPr lang="en-US" sz="900" b="0"/>
        </a:p>
        <a:p>
          <a:r>
            <a:rPr lang="en-US" sz="900" b="0"/>
            <a:t>9. Transaction by amount </a:t>
          </a:r>
        </a:p>
        <a:p>
          <a:r>
            <a:rPr lang="en-US" sz="900" b="1"/>
            <a:t>Objective:</a:t>
          </a:r>
          <a:r>
            <a:rPr lang="en-US" sz="900"/>
            <a:t> Understand transaction volume by sales amount</a:t>
          </a:r>
          <a:br>
            <a:rPr lang="en-US" sz="900"/>
          </a:br>
          <a:r>
            <a:rPr lang="en-US" sz="900" b="1"/>
            <a:t>Approach:</a:t>
          </a:r>
          <a:r>
            <a:rPr lang="en-US" sz="900"/>
            <a:t> Group transactions by revenue amount and calculate the number of transactions per group</a:t>
          </a:r>
        </a:p>
        <a:p>
          <a:br>
            <a:rPr lang="en-US" sz="900"/>
          </a:br>
          <a:r>
            <a:rPr lang="en-US" sz="900" b="1"/>
            <a:t>Key Insight:</a:t>
          </a:r>
          <a:r>
            <a:rPr lang="en-US" sz="900"/>
            <a:t> </a:t>
          </a:r>
        </a:p>
        <a:p>
          <a:r>
            <a:rPr lang="en-US" sz="900"/>
            <a:t>-</a:t>
          </a:r>
          <a:r>
            <a:rPr lang="en-US" sz="900" baseline="0"/>
            <a:t> </a:t>
          </a:r>
          <a:r>
            <a:rPr lang="en-US" sz="900"/>
            <a:t>Helps us to identify purchasing patterns</a:t>
          </a:r>
        </a:p>
        <a:p>
          <a:r>
            <a:rPr lang="en-US" sz="900"/>
            <a:t>- Provides visibility into transaction frequency across different sales values</a:t>
          </a:r>
        </a:p>
        <a:p>
          <a:r>
            <a:rPr lang="en-US" sz="900"/>
            <a:t>- Reveals transaction volume</a:t>
          </a:r>
        </a:p>
        <a:p>
          <a:endParaRPr lang="en-US" sz="900"/>
        </a:p>
        <a:p>
          <a:pPr algn="l"/>
          <a:endParaRPr lang="en-US" sz="9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9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9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57150</xdr:rowOff>
    </xdr:from>
    <xdr:to>
      <xdr:col>6</xdr:col>
      <xdr:colOff>76200</xdr:colOff>
      <xdr:row>16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33350" y="241300"/>
          <a:ext cx="3600450" cy="28194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Sales trend Insight</a:t>
          </a:r>
        </a:p>
        <a:p>
          <a:pPr algn="l"/>
          <a:r>
            <a:rPr lang="en-US" sz="900"/>
            <a:t>-</a:t>
          </a:r>
          <a:r>
            <a:rPr lang="en-US" sz="900" baseline="0"/>
            <a:t> The month of February has the least sales </a:t>
          </a:r>
        </a:p>
        <a:p>
          <a:pPr algn="l"/>
          <a:r>
            <a:rPr lang="en-US" sz="900" baseline="0"/>
            <a:t>- The month of December has the hishest sales</a:t>
          </a:r>
        </a:p>
        <a:p>
          <a:pPr algn="l"/>
          <a:endParaRPr lang="en-US" sz="900" baseline="0"/>
        </a:p>
        <a:p>
          <a:pPr algn="l"/>
          <a:r>
            <a:rPr lang="en-US" sz="900" baseline="0"/>
            <a:t>Top 10 Customers</a:t>
          </a:r>
        </a:p>
        <a:p>
          <a:pPr algn="l"/>
          <a:r>
            <a:rPr lang="en-US" sz="900" baseline="0"/>
            <a:t>- Customer D has the highest Revenue</a:t>
          </a:r>
        </a:p>
        <a:p>
          <a:pPr algn="l"/>
          <a:endParaRPr lang="en-US" sz="900" baseline="0"/>
        </a:p>
        <a:p>
          <a:pPr algn="l"/>
          <a:r>
            <a:rPr lang="en-US" sz="900" baseline="0"/>
            <a:t>Sales by Rep</a:t>
          </a:r>
        </a:p>
        <a:p>
          <a:pPr algn="l"/>
          <a:r>
            <a:rPr lang="en-US" sz="900" baseline="0"/>
            <a:t>- Nancy has the highest revenue with a value of $104252.34</a:t>
          </a:r>
        </a:p>
        <a:p>
          <a:pPr algn="l"/>
          <a:endParaRPr lang="en-US" sz="900" baseline="0"/>
        </a:p>
        <a:p>
          <a:pPr algn="l"/>
          <a:r>
            <a:rPr lang="en-US" sz="900" baseline="0"/>
            <a:t>Sales by Region </a:t>
          </a:r>
        </a:p>
        <a:p>
          <a:pPr algn="l"/>
          <a:r>
            <a:rPr lang="en-US" sz="900" baseline="0"/>
            <a:t>- North has the highest revenue with a percentage of 32.57% of total revenue</a:t>
          </a:r>
        </a:p>
        <a:p>
          <a:pPr algn="l"/>
          <a:endParaRPr lang="en-US" sz="900" baseline="0"/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171450</xdr:colOff>
      <xdr:row>1</xdr:row>
      <xdr:rowOff>44450</xdr:rowOff>
    </xdr:from>
    <xdr:to>
      <xdr:col>12</xdr:col>
      <xdr:colOff>114300</xdr:colOff>
      <xdr:row>16</xdr:row>
      <xdr:rowOff>63500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829050" y="228600"/>
          <a:ext cx="3600450" cy="2781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  <a:p>
          <a:pPr algn="l"/>
          <a:r>
            <a:rPr lang="en-US" sz="900"/>
            <a:t>Sales Trend Insight </a:t>
          </a:r>
        </a:p>
        <a:p>
          <a:pPr algn="l"/>
          <a:endParaRPr lang="en-US" sz="900"/>
        </a:p>
        <a:p>
          <a:pPr algn="l"/>
          <a:r>
            <a:rPr lang="en-US" sz="900"/>
            <a:t>December drives the highest sales, while February sees a dip, recording the lowest sales figures.</a:t>
          </a:r>
        </a:p>
        <a:p>
          <a:pPr algn="l"/>
          <a:endParaRPr lang="en-US" sz="900"/>
        </a:p>
        <a:p>
          <a:pPr algn="l"/>
          <a:r>
            <a:rPr lang="en-US" sz="900"/>
            <a:t>Top 10 Customer:</a:t>
          </a:r>
          <a:r>
            <a:rPr lang="en-US" sz="900" baseline="0"/>
            <a:t> </a:t>
          </a:r>
        </a:p>
        <a:p>
          <a:pPr algn="l"/>
          <a:r>
            <a:rPr lang="en-US" sz="900"/>
            <a:t>Customer D tops the list, contributing the highest revenue.</a:t>
          </a:r>
        </a:p>
        <a:p>
          <a:pPr algn="l"/>
          <a:endParaRPr lang="en-US" sz="900"/>
        </a:p>
        <a:p>
          <a:pPr algn="l"/>
          <a:r>
            <a:rPr lang="en-US" sz="900"/>
            <a:t>Sales by Rep </a:t>
          </a:r>
        </a:p>
        <a:p>
          <a:pPr algn="l"/>
          <a:r>
            <a:rPr lang="en-US" sz="900"/>
            <a:t>Top Performing Rep was Nancy leads the sales charge  with a revenue of $104,252.34</a:t>
          </a:r>
        </a:p>
        <a:p>
          <a:pPr algn="l"/>
          <a:endParaRPr lang="en-US" sz="900"/>
        </a:p>
        <a:p>
          <a:pPr algn="l"/>
          <a:r>
            <a:rPr lang="en-US" sz="900"/>
            <a:t>Sales by region</a:t>
          </a:r>
          <a:r>
            <a:rPr lang="en-US" sz="900" baseline="0"/>
            <a:t> </a:t>
          </a:r>
        </a:p>
        <a:p>
          <a:pPr algn="l"/>
          <a:r>
            <a:rPr lang="en-US" sz="900"/>
            <a:t>North region tops the charts, driving 32.57% of total revenue </a:t>
          </a:r>
        </a:p>
      </xdr:txBody>
    </xdr:sp>
    <xdr:clientData/>
  </xdr:twoCellAnchor>
  <xdr:twoCellAnchor>
    <xdr:from>
      <xdr:col>12</xdr:col>
      <xdr:colOff>228600</xdr:colOff>
      <xdr:row>1</xdr:row>
      <xdr:rowOff>69850</xdr:rowOff>
    </xdr:from>
    <xdr:to>
      <xdr:col>18</xdr:col>
      <xdr:colOff>539750</xdr:colOff>
      <xdr:row>56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7543800" y="254000"/>
          <a:ext cx="3968750" cy="101155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 b="0">
            <a:latin typeface="+mn-lt"/>
          </a:endParaRPr>
        </a:p>
        <a:p>
          <a:pPr algn="l"/>
          <a:r>
            <a:rPr lang="en-US" sz="900" b="0">
              <a:latin typeface="+mn-lt"/>
            </a:rPr>
            <a:t>Sales by Product categories</a:t>
          </a:r>
        </a:p>
        <a:p>
          <a:pPr algn="l"/>
          <a:endParaRPr lang="en-US" sz="900" b="0">
            <a:latin typeface="+mn-lt"/>
          </a:endParaRPr>
        </a:p>
        <a:p>
          <a:r>
            <a:rPr lang="en-US" sz="900" b="0">
              <a:effectLst/>
              <a:latin typeface="+mn-lt"/>
            </a:rPr>
            <a:t>Key Insights </a:t>
          </a:r>
        </a:p>
        <a:p>
          <a:pPr rtl="0" fontAlgn="auto"/>
          <a:r>
            <a:rPr lang="en-US" sz="900" b="0">
              <a:effectLst/>
              <a:latin typeface="+mn-lt"/>
            </a:rPr>
            <a:t>Dominant Category: Beverages are the clear market leader, generating over $110,000$ 110 comma 000</a:t>
          </a:r>
        </a:p>
        <a:p>
          <a:pPr rtl="0" fontAlgn="auto"/>
          <a:r>
            <a:rPr lang="en-US" sz="900" b="0">
              <a:effectLst/>
              <a:latin typeface="+mn-lt"/>
            </a:rPr>
            <a:t>$𝟏𝟏𝟎,𝟎𝟎𝟎</a:t>
          </a:r>
        </a:p>
        <a:p>
          <a:r>
            <a:rPr lang="en-US" sz="900" b="0">
              <a:effectLst/>
              <a:latin typeface="+mn-lt"/>
            </a:rPr>
            <a:t>in sales, significantly more than any other category. </a:t>
          </a:r>
        </a:p>
        <a:p>
          <a:pPr rtl="0" fontAlgn="auto"/>
          <a:r>
            <a:rPr lang="en-US" sz="900" b="0">
              <a:effectLst/>
              <a:latin typeface="+mn-lt"/>
            </a:rPr>
            <a:t>Second Strongest: Sauces are a solid second with $69,000$ 69 comma 000</a:t>
          </a:r>
        </a:p>
        <a:p>
          <a:pPr rtl="0" fontAlgn="auto"/>
          <a:r>
            <a:rPr lang="en-US" sz="900" b="0">
              <a:effectLst/>
              <a:latin typeface="+mn-lt"/>
            </a:rPr>
            <a:t>$𝟔𝟗,𝟎𝟎𝟎</a:t>
          </a:r>
        </a:p>
        <a:p>
          <a:r>
            <a:rPr lang="en-US" sz="900" b="0">
              <a:effectLst/>
              <a:latin typeface="+mn-lt"/>
            </a:rPr>
            <a:t>in sales. </a:t>
          </a:r>
        </a:p>
        <a:p>
          <a:pPr rtl="0" fontAlgn="auto"/>
          <a:r>
            <a:rPr lang="en-US" sz="900" b="0">
              <a:effectLst/>
              <a:latin typeface="+mn-lt"/>
            </a:rPr>
            <a:t>Mid-Tier Performance: Jams, Preserves ($51,541$ 51 comma 541</a:t>
          </a:r>
        </a:p>
        <a:p>
          <a:pPr rtl="0" fontAlgn="auto"/>
          <a:r>
            <a:rPr lang="en-US" sz="900" b="0">
              <a:effectLst/>
              <a:latin typeface="+mn-lt"/>
            </a:rPr>
            <a:t>$𝟓𝟏,𝟓𝟒𝟏</a:t>
          </a:r>
        </a:p>
        <a:p>
          <a:pPr rtl="0" fontAlgn="auto"/>
          <a:r>
            <a:rPr lang="en-US" sz="900" b="0">
              <a:effectLst/>
              <a:latin typeface="+mn-lt"/>
            </a:rPr>
            <a:t>) and Dairy Products ($33,129.6$ 33 comma 129.6</a:t>
          </a:r>
        </a:p>
        <a:p>
          <a:pPr rtl="0" fontAlgn="auto"/>
          <a:r>
            <a:rPr lang="en-US" sz="900" b="0">
              <a:effectLst/>
              <a:latin typeface="+mn-lt"/>
            </a:rPr>
            <a:t>$𝟑𝟑,𝟏𝟐𝟗.𝟔</a:t>
          </a:r>
        </a:p>
        <a:p>
          <a:r>
            <a:rPr lang="en-US" sz="900" b="0">
              <a:effectLst/>
              <a:latin typeface="+mn-lt"/>
            </a:rPr>
            <a:t>) represent the middle range of sales performance. </a:t>
          </a:r>
        </a:p>
        <a:p>
          <a:pPr rtl="0" fontAlgn="auto"/>
          <a:r>
            <a:rPr lang="en-US" sz="900" b="0">
              <a:effectLst/>
              <a:latin typeface="+mn-lt"/>
            </a:rPr>
            <a:t>Lowest Performer: Dried Fruit &amp; Nuts is the lowest-selling category, bringing in just under $28,000$ 28 comma 000</a:t>
          </a:r>
        </a:p>
        <a:p>
          <a:pPr rtl="0" fontAlgn="auto"/>
          <a:r>
            <a:rPr lang="en-US" sz="900" b="0">
              <a:effectLst/>
              <a:latin typeface="+mn-lt"/>
            </a:rPr>
            <a:t>$𝟐𝟖,𝟎𝟎𝟎</a:t>
          </a:r>
        </a:p>
        <a:p>
          <a:r>
            <a:rPr lang="en-US" sz="900" b="0">
              <a:effectLst/>
              <a:latin typeface="+mn-lt"/>
            </a:rPr>
            <a:t>in revenue. </a:t>
          </a:r>
        </a:p>
        <a:p>
          <a:endParaRPr lang="en-US" sz="900" b="0">
            <a:effectLst/>
            <a:latin typeface="+mn-lt"/>
          </a:endParaRPr>
        </a:p>
        <a:p>
          <a:r>
            <a:rPr lang="en-US" sz="900" b="0">
              <a:effectLst/>
              <a:latin typeface="+mn-lt"/>
            </a:rPr>
            <a:t>Significant Disparity: There is a substantial difference in sales between the top-performing category (Beverages) and the bottom-performing category (Dried Fruit &amp; Nuts), indicating varied market penetration or demand across product lines. </a:t>
          </a:r>
        </a:p>
        <a:p>
          <a:endParaRPr lang="en-US" sz="900" b="0">
            <a:effectLst/>
            <a:latin typeface="+mn-lt"/>
          </a:endParaRPr>
        </a:p>
        <a:p>
          <a:r>
            <a:rPr lang="en-US" sz="900" b="1">
              <a:effectLst/>
              <a:latin typeface="+mn-lt"/>
            </a:rPr>
            <a:t>Recommendations for Revenue Growth </a:t>
          </a:r>
        </a:p>
        <a:p>
          <a:endParaRPr lang="en-US" sz="900" b="1">
            <a:effectLst/>
            <a:latin typeface="+mn-lt"/>
          </a:endParaRPr>
        </a:p>
        <a:p>
          <a:r>
            <a:rPr lang="en-US" sz="900" b="0">
              <a:effectLst/>
              <a:latin typeface="+mn-lt"/>
            </a:rPr>
            <a:t>Capitalize on Beverages: Allocate more resources to the Beverages category to maintain market dominance and explore opportunities for expanding the product line or entering new markets. </a:t>
          </a:r>
        </a:p>
        <a:p>
          <a:r>
            <a:rPr lang="en-US" sz="900" b="0">
              <a:effectLst/>
              <a:latin typeface="+mn-lt"/>
            </a:rPr>
            <a:t>Boost Sauces: Continue to invest in the Sauces category to potentially close the gap with Beverages through targeted marketing or new product development. </a:t>
          </a:r>
        </a:p>
        <a:p>
          <a:r>
            <a:rPr lang="en-US" sz="900" b="0">
              <a:effectLst/>
              <a:latin typeface="+mn-lt"/>
            </a:rPr>
            <a:t>Optimize Mid-Tier: Conduct market analysis for Jams, Preserves and Dairy Products to identify specific reasons for their current sales levels and implement strategies (e.g., promotional campaigns, new packaging) to increase their contribution. </a:t>
          </a:r>
        </a:p>
        <a:p>
          <a:r>
            <a:rPr lang="en-US" sz="900" b="0">
              <a:effectLst/>
              <a:latin typeface="+mn-lt"/>
            </a:rPr>
            <a:t>Address Low Sales: Investigate the performance of Dried Fruit &amp; Nuts. Determine if the low sales are due to market saturation, pricing issues, or low demand. Based on findings, either implement a focused improvement plan or consider reallocating resources to higher-performing categories. </a:t>
          </a:r>
        </a:p>
        <a:p>
          <a:r>
            <a:rPr lang="en-US" sz="900" b="0">
              <a:effectLst/>
              <a:latin typeface="+mn-lt"/>
            </a:rPr>
            <a:t>Strategic Resource Allocation: Use this data to inform overall business strategy, focusing investment on areas with proven success while cautiously evaluating the potential for growth in underperforming segments.</a:t>
          </a:r>
        </a:p>
        <a:p>
          <a:endParaRPr lang="en-US" sz="900" b="0">
            <a:effectLst/>
            <a:latin typeface="+mn-lt"/>
          </a:endParaRPr>
        </a:p>
        <a:p>
          <a:endParaRPr lang="en-US" sz="900" b="0">
            <a:effectLst/>
            <a:latin typeface="+mn-lt"/>
          </a:endParaRPr>
        </a:p>
        <a:p>
          <a:r>
            <a:rPr lang="en-US" sz="900" b="0">
              <a:effectLst/>
              <a:latin typeface="+mn-lt"/>
            </a:rPr>
            <a:t>Transaction</a:t>
          </a:r>
          <a:r>
            <a:rPr lang="en-US" sz="900" b="0" baseline="0">
              <a:effectLst/>
              <a:latin typeface="+mn-lt"/>
            </a:rPr>
            <a:t> by Amount</a:t>
          </a:r>
        </a:p>
        <a:p>
          <a:endParaRPr lang="en-US" sz="900" b="0" baseline="0">
            <a:effectLst/>
            <a:latin typeface="+mn-lt"/>
          </a:endParaRPr>
        </a:p>
        <a:p>
          <a:r>
            <a:rPr lang="en-US" sz="900" b="1"/>
            <a:t>Key Insights</a:t>
          </a:r>
        </a:p>
        <a:p>
          <a:r>
            <a:rPr lang="en-US" sz="900" b="1"/>
            <a:t>Transaction volume is heavily concentrated in low-value sales.</a:t>
          </a:r>
          <a:br>
            <a:rPr lang="en-US" sz="900"/>
          </a:br>
          <a:r>
            <a:rPr lang="en-US" sz="900"/>
            <a:t>The majority of transactions (218) fall within the </a:t>
          </a:r>
          <a:r>
            <a:rPr lang="en-US" sz="900" b="1"/>
            <a:t>0–1,000</a:t>
          </a:r>
          <a:r>
            <a:rPr lang="en-US" sz="900"/>
            <a:t> range, indicating high frequency of smaller purchases.</a:t>
          </a:r>
        </a:p>
        <a:p>
          <a:r>
            <a:rPr lang="en-US" sz="900" b="1"/>
            <a:t>Transaction frequency declines sharply as transaction amount increases.</a:t>
          </a:r>
          <a:br>
            <a:rPr lang="en-US" sz="900"/>
          </a:br>
          <a:r>
            <a:rPr lang="en-US" sz="900"/>
            <a:t>There is a steep drop from </a:t>
          </a:r>
          <a:r>
            <a:rPr lang="en-US" sz="900" b="1"/>
            <a:t>218 transactions (0–1,000)</a:t>
          </a:r>
          <a:r>
            <a:rPr lang="en-US" sz="900"/>
            <a:t> to </a:t>
          </a:r>
          <a:r>
            <a:rPr lang="en-US" sz="900" b="1"/>
            <a:t>85 (1,000–2,000)</a:t>
          </a:r>
          <a:r>
            <a:rPr lang="en-US" sz="900"/>
            <a:t>, with volumes continuing to decrease across higher ranges.</a:t>
          </a:r>
        </a:p>
        <a:p>
          <a:r>
            <a:rPr lang="en-US" sz="900" b="1"/>
            <a:t>High-value transactions are rare.</a:t>
          </a:r>
          <a:br>
            <a:rPr lang="en-US" sz="900"/>
          </a:br>
          <a:r>
            <a:rPr lang="en-US" sz="900"/>
            <a:t>Transactions above </a:t>
          </a:r>
          <a:r>
            <a:rPr lang="en-US" sz="900" b="1"/>
            <a:t>4,000</a:t>
          </a:r>
          <a:r>
            <a:rPr lang="en-US" sz="900"/>
            <a:t> account for very few occurrences (11 total), suggesting that large deals are infrequent.</a:t>
          </a:r>
        </a:p>
        <a:p>
          <a:r>
            <a:rPr lang="en-US" sz="900" b="1"/>
            <a:t>Revenue appears to be driven by volume rather than deal size.</a:t>
          </a:r>
          <a:br>
            <a:rPr lang="en-US" sz="900"/>
          </a:br>
          <a:r>
            <a:rPr lang="en-US" sz="900"/>
            <a:t>The business relies more on a high number of low-value transactions than on fewer high-value sales.</a:t>
          </a:r>
        </a:p>
        <a:p>
          <a:r>
            <a:rPr lang="en-US" sz="900" b="1"/>
            <a:t>Business Implications (optional, if needed)</a:t>
          </a:r>
        </a:p>
        <a:p>
          <a:r>
            <a:rPr lang="en-US" sz="900"/>
            <a:t>Opportunities may exist to </a:t>
          </a:r>
          <a:r>
            <a:rPr lang="en-US" sz="900" b="1"/>
            <a:t>increase average transaction value</a:t>
          </a:r>
          <a:r>
            <a:rPr lang="en-US" sz="900"/>
            <a:t> through upselling or bundling strategies.</a:t>
          </a:r>
        </a:p>
        <a:p>
          <a:r>
            <a:rPr lang="en-US" sz="900"/>
            <a:t>Sales and marketing efforts could focus on </a:t>
          </a:r>
          <a:r>
            <a:rPr lang="en-US" sz="900" b="1"/>
            <a:t>converting frequent low-value buyers into mid-tier purchases</a:t>
          </a:r>
          <a:r>
            <a:rPr lang="en-US" sz="900"/>
            <a:t> (1,000–3,000 range).</a:t>
          </a:r>
        </a:p>
        <a:p>
          <a:endParaRPr lang="en-US" sz="900" b="0">
            <a:effectLst/>
            <a:latin typeface="+mn-lt"/>
          </a:endParaRPr>
        </a:p>
        <a:p>
          <a:pPr algn="l"/>
          <a:endParaRPr lang="en-US" sz="900" b="0">
            <a:latin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555625</xdr:colOff>
      <xdr:row>2</xdr:row>
      <xdr:rowOff>98425</xdr:rowOff>
    </xdr:from>
    <xdr:to>
      <xdr:col>11</xdr:col>
      <xdr:colOff>250825</xdr:colOff>
      <xdr:row>17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206375</xdr:colOff>
      <xdr:row>2</xdr:row>
      <xdr:rowOff>9525</xdr:rowOff>
    </xdr:from>
    <xdr:to>
      <xdr:col>11</xdr:col>
      <xdr:colOff>511175</xdr:colOff>
      <xdr:row>16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0</xdr:row>
      <xdr:rowOff>127001</xdr:rowOff>
    </xdr:from>
    <xdr:to>
      <xdr:col>9</xdr:col>
      <xdr:colOff>400050</xdr:colOff>
      <xdr:row>12</xdr:row>
      <xdr:rowOff>107951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206375</xdr:colOff>
      <xdr:row>0</xdr:row>
      <xdr:rowOff>127000</xdr:rowOff>
    </xdr:from>
    <xdr:to>
      <xdr:col>11</xdr:col>
      <xdr:colOff>6350</xdr:colOff>
      <xdr:row>20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1</xdr:row>
      <xdr:rowOff>98425</xdr:rowOff>
    </xdr:from>
    <xdr:to>
      <xdr:col>12</xdr:col>
      <xdr:colOff>9525</xdr:colOff>
      <xdr:row>16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384175</xdr:colOff>
      <xdr:row>2</xdr:row>
      <xdr:rowOff>123824</xdr:rowOff>
    </xdr:from>
    <xdr:to>
      <xdr:col>12</xdr:col>
      <xdr:colOff>387350</xdr:colOff>
      <xdr:row>20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241300</xdr:colOff>
      <xdr:row>2</xdr:row>
      <xdr:rowOff>114301</xdr:rowOff>
    </xdr:from>
    <xdr:to>
      <xdr:col>11</xdr:col>
      <xdr:colOff>527050</xdr:colOff>
      <xdr:row>15</xdr:row>
      <xdr:rowOff>152401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087520C-5B84-521E-FF28-55E109D239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25950" y="482601"/>
              <a:ext cx="3943350" cy="243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92075</xdr:colOff>
      <xdr:row>2</xdr:row>
      <xdr:rowOff>34924</xdr:rowOff>
    </xdr:from>
    <xdr:to>
      <xdr:col>8</xdr:col>
      <xdr:colOff>50800</xdr:colOff>
      <xdr:row>17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133351</xdr:rowOff>
    </xdr:from>
    <xdr:to>
      <xdr:col>17</xdr:col>
      <xdr:colOff>142874</xdr:colOff>
      <xdr:row>17</xdr:row>
      <xdr:rowOff>101601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403225</xdr:colOff>
      <xdr:row>2</xdr:row>
      <xdr:rowOff>130175</xdr:rowOff>
    </xdr:from>
    <xdr:to>
      <xdr:col>11</xdr:col>
      <xdr:colOff>314325</xdr:colOff>
      <xdr:row>17</xdr:row>
      <xdr:rowOff>111125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1B6E509-E880-1075-FDBC-D8B950F06F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4984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1</xdr:row>
      <xdr:rowOff>139700</xdr:rowOff>
    </xdr:from>
    <xdr:to>
      <xdr:col>10</xdr:col>
      <xdr:colOff>292100</xdr:colOff>
      <xdr:row>16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C1CB05-904C-30E4-584E-E0B30E17F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225777</xdr:colOff>
      <xdr:row>0</xdr:row>
      <xdr:rowOff>63500</xdr:rowOff>
    </xdr:from>
    <xdr:to>
      <xdr:col>26</xdr:col>
      <xdr:colOff>105833</xdr:colOff>
      <xdr:row>34</xdr:row>
      <xdr:rowOff>137583</xdr:rowOff>
    </xdr:to>
    <xdr:sp macro="" textlink="">
      <xdr:nvSpPr>
        <xdr:cNvPr id="25" name="Rounded Rectangle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/>
      </xdr:nvSpPr>
      <xdr:spPr>
        <a:xfrm>
          <a:off x="225777" y="63500"/>
          <a:ext cx="15839723" cy="6191250"/>
        </a:xfrm>
        <a:prstGeom prst="roundRect">
          <a:avLst>
            <a:gd name="adj" fmla="val 2907"/>
          </a:avLst>
        </a:prstGeom>
        <a:solidFill>
          <a:schemeClr val="bg2"/>
        </a:solidFill>
        <a:ln>
          <a:noFill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455082</xdr:colOff>
      <xdr:row>21</xdr:row>
      <xdr:rowOff>25400</xdr:rowOff>
    </xdr:from>
    <xdr:to>
      <xdr:col>9</xdr:col>
      <xdr:colOff>370416</xdr:colOff>
      <xdr:row>34</xdr:row>
      <xdr:rowOff>31750</xdr:rowOff>
    </xdr:to>
    <xdr:sp macro="" textlink="">
      <xdr:nvSpPr>
        <xdr:cNvPr id="80" name="Rectangle: Rounded Corners 79">
          <a:extLst>
            <a:ext uri="{FF2B5EF4-FFF2-40B4-BE49-F238E27FC236}">
              <a16:creationId xmlns:a16="http://schemas.microsoft.com/office/drawing/2014/main" id="{1C2D0F13-C7DB-4DF2-91DE-CB148B1C7F4E}"/>
            </a:ext>
          </a:extLst>
        </xdr:cNvPr>
        <xdr:cNvSpPr/>
      </xdr:nvSpPr>
      <xdr:spPr>
        <a:xfrm>
          <a:off x="1677457" y="3859213"/>
          <a:ext cx="4193647" cy="2379662"/>
        </a:xfrm>
        <a:prstGeom prst="roundRect">
          <a:avLst>
            <a:gd name="adj" fmla="val 4907"/>
          </a:avLst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17</xdr:col>
      <xdr:colOff>247627</xdr:colOff>
      <xdr:row>7</xdr:row>
      <xdr:rowOff>127000</xdr:rowOff>
    </xdr:from>
    <xdr:to>
      <xdr:col>25</xdr:col>
      <xdr:colOff>571501</xdr:colOff>
      <xdr:row>20</xdr:row>
      <xdr:rowOff>127000</xdr:rowOff>
    </xdr:to>
    <xdr:sp macro="" textlink="">
      <xdr:nvSpPr>
        <xdr:cNvPr id="79" name="Rectangle: Rounded Corners 78">
          <a:extLst>
            <a:ext uri="{FF2B5EF4-FFF2-40B4-BE49-F238E27FC236}">
              <a16:creationId xmlns:a16="http://schemas.microsoft.com/office/drawing/2014/main" id="{EF8A9419-587C-550D-2D5B-7D0C070C2992}"/>
            </a:ext>
          </a:extLst>
        </xdr:cNvPr>
        <xdr:cNvSpPr/>
      </xdr:nvSpPr>
      <xdr:spPr>
        <a:xfrm>
          <a:off x="10682794" y="1386417"/>
          <a:ext cx="5234540" cy="2338916"/>
        </a:xfrm>
        <a:prstGeom prst="roundRect">
          <a:avLst>
            <a:gd name="adj" fmla="val 4907"/>
          </a:avLst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16</xdr:col>
      <xdr:colOff>296334</xdr:colOff>
      <xdr:row>2</xdr:row>
      <xdr:rowOff>137584</xdr:rowOff>
    </xdr:from>
    <xdr:to>
      <xdr:col>25</xdr:col>
      <xdr:colOff>539750</xdr:colOff>
      <xdr:row>7</xdr:row>
      <xdr:rowOff>31750</xdr:rowOff>
    </xdr:to>
    <xdr:sp macro="" textlink="">
      <xdr:nvSpPr>
        <xdr:cNvPr id="74" name="Rectangle: Rounded Corners 73">
          <a:extLst>
            <a:ext uri="{FF2B5EF4-FFF2-40B4-BE49-F238E27FC236}">
              <a16:creationId xmlns:a16="http://schemas.microsoft.com/office/drawing/2014/main" id="{20EB3FCE-9EC9-AC71-9F20-0611CDE9F5A0}"/>
            </a:ext>
          </a:extLst>
        </xdr:cNvPr>
        <xdr:cNvSpPr/>
      </xdr:nvSpPr>
      <xdr:spPr>
        <a:xfrm>
          <a:off x="10117667" y="497417"/>
          <a:ext cx="5767916" cy="793750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0</xdr:col>
      <xdr:colOff>317500</xdr:colOff>
      <xdr:row>1</xdr:row>
      <xdr:rowOff>-1</xdr:rowOff>
    </xdr:from>
    <xdr:to>
      <xdr:col>2</xdr:col>
      <xdr:colOff>281215</xdr:colOff>
      <xdr:row>34</xdr:row>
      <xdr:rowOff>42332</xdr:rowOff>
    </xdr:to>
    <xdr:sp macro="" textlink="">
      <xdr:nvSpPr>
        <xdr:cNvPr id="26" name="Rounded Rectangle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/>
      </xdr:nvSpPr>
      <xdr:spPr>
        <a:xfrm>
          <a:off x="317500" y="182562"/>
          <a:ext cx="1186090" cy="6066895"/>
        </a:xfrm>
        <a:prstGeom prst="roundRect">
          <a:avLst>
            <a:gd name="adj" fmla="val 18409"/>
          </a:avLst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495901</xdr:colOff>
      <xdr:row>4</xdr:row>
      <xdr:rowOff>125992</xdr:rowOff>
    </xdr:from>
    <xdr:to>
      <xdr:col>2</xdr:col>
      <xdr:colOff>121958</xdr:colOff>
      <xdr:row>6</xdr:row>
      <xdr:rowOff>22176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/>
      </xdr:nvSpPr>
      <xdr:spPr>
        <a:xfrm>
          <a:off x="495901" y="851706"/>
          <a:ext cx="841628" cy="25904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Pre analysis</a:t>
          </a:r>
        </a:p>
      </xdr:txBody>
    </xdr:sp>
    <xdr:clientData/>
  </xdr:twoCellAnchor>
  <xdr:twoCellAnchor editAs="oneCell">
    <xdr:from>
      <xdr:col>1</xdr:col>
      <xdr:colOff>132038</xdr:colOff>
      <xdr:row>2</xdr:row>
      <xdr:rowOff>2</xdr:rowOff>
    </xdr:from>
    <xdr:to>
      <xdr:col>1</xdr:col>
      <xdr:colOff>420038</xdr:colOff>
      <xdr:row>4</xdr:row>
      <xdr:rowOff>61999</xdr:rowOff>
    </xdr:to>
    <xdr:pic>
      <xdr:nvPicPr>
        <xdr:cNvPr id="28" name="Picture 27" descr="Vector Hourglass PNG Picture | PNG All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824" y="362859"/>
          <a:ext cx="288000" cy="424854"/>
        </a:xfrm>
        <a:prstGeom prst="rect">
          <a:avLst/>
        </a:prstGeom>
      </xdr:spPr>
    </xdr:pic>
    <xdr:clientData/>
  </xdr:twoCellAnchor>
  <xdr:twoCellAnchor>
    <xdr:from>
      <xdr:col>0</xdr:col>
      <xdr:colOff>509205</xdr:colOff>
      <xdr:row>9</xdr:row>
      <xdr:rowOff>164487</xdr:rowOff>
    </xdr:from>
    <xdr:to>
      <xdr:col>2</xdr:col>
      <xdr:colOff>135262</xdr:colOff>
      <xdr:row>11</xdr:row>
      <xdr:rowOff>60166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/>
      </xdr:nvSpPr>
      <xdr:spPr>
        <a:xfrm>
          <a:off x="509205" y="1783737"/>
          <a:ext cx="853724" cy="255512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In analysis</a:t>
          </a:r>
        </a:p>
      </xdr:txBody>
    </xdr:sp>
    <xdr:clientData/>
  </xdr:twoCellAnchor>
  <xdr:twoCellAnchor editAs="oneCell">
    <xdr:from>
      <xdr:col>0</xdr:col>
      <xdr:colOff>593675</xdr:colOff>
      <xdr:row>6</xdr:row>
      <xdr:rowOff>138080</xdr:rowOff>
    </xdr:from>
    <xdr:to>
      <xdr:col>1</xdr:col>
      <xdr:colOff>508858</xdr:colOff>
      <xdr:row>9</xdr:row>
      <xdr:rowOff>111882</xdr:rowOff>
    </xdr:to>
    <xdr:pic>
      <xdr:nvPicPr>
        <xdr:cNvPr id="31" name="Picture 30" descr="Cognitive-Behavioral Therapy | Abnormal Psychology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675" y="1217580"/>
          <a:ext cx="529016" cy="513552"/>
        </a:xfrm>
        <a:prstGeom prst="rect">
          <a:avLst/>
        </a:prstGeom>
      </xdr:spPr>
    </xdr:pic>
    <xdr:clientData/>
  </xdr:twoCellAnchor>
  <xdr:twoCellAnchor editAs="oneCell">
    <xdr:from>
      <xdr:col>0</xdr:col>
      <xdr:colOff>517574</xdr:colOff>
      <xdr:row>16</xdr:row>
      <xdr:rowOff>130518</xdr:rowOff>
    </xdr:from>
    <xdr:to>
      <xdr:col>1</xdr:col>
      <xdr:colOff>524630</xdr:colOff>
      <xdr:row>20</xdr:row>
      <xdr:rowOff>12087</xdr:rowOff>
    </xdr:to>
    <xdr:pic>
      <xdr:nvPicPr>
        <xdr:cNvPr id="35" name="Picture 34" descr="analysis Icon - Free PNG &amp; SVG 8265445 - Noun Project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574" y="3009185"/>
          <a:ext cx="620889" cy="601235"/>
        </a:xfrm>
        <a:prstGeom prst="rect">
          <a:avLst/>
        </a:prstGeom>
      </xdr:spPr>
    </xdr:pic>
    <xdr:clientData/>
  </xdr:twoCellAnchor>
  <xdr:twoCellAnchor editAs="oneCell">
    <xdr:from>
      <xdr:col>0</xdr:col>
      <xdr:colOff>510136</xdr:colOff>
      <xdr:row>12</xdr:row>
      <xdr:rowOff>1513</xdr:rowOff>
    </xdr:from>
    <xdr:to>
      <xdr:col>2</xdr:col>
      <xdr:colOff>4640</xdr:colOff>
      <xdr:row>14</xdr:row>
      <xdr:rowOff>77101</xdr:rowOff>
    </xdr:to>
    <xdr:pic>
      <xdr:nvPicPr>
        <xdr:cNvPr id="36" name="Picture 35" descr="Blog | Sarapis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136" y="2160513"/>
          <a:ext cx="722171" cy="435421"/>
        </a:xfrm>
        <a:prstGeom prst="rect">
          <a:avLst/>
        </a:prstGeom>
      </xdr:spPr>
    </xdr:pic>
    <xdr:clientData/>
  </xdr:twoCellAnchor>
  <xdr:twoCellAnchor>
    <xdr:from>
      <xdr:col>0</xdr:col>
      <xdr:colOff>472114</xdr:colOff>
      <xdr:row>14</xdr:row>
      <xdr:rowOff>144528</xdr:rowOff>
    </xdr:from>
    <xdr:to>
      <xdr:col>2</xdr:col>
      <xdr:colOff>98171</xdr:colOff>
      <xdr:row>16</xdr:row>
      <xdr:rowOff>40206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/>
      </xdr:nvSpPr>
      <xdr:spPr>
        <a:xfrm>
          <a:off x="472114" y="2663361"/>
          <a:ext cx="853724" cy="255512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Observation</a:t>
          </a:r>
        </a:p>
      </xdr:txBody>
    </xdr:sp>
    <xdr:clientData/>
  </xdr:twoCellAnchor>
  <xdr:twoCellAnchor>
    <xdr:from>
      <xdr:col>0</xdr:col>
      <xdr:colOff>327930</xdr:colOff>
      <xdr:row>20</xdr:row>
      <xdr:rowOff>52377</xdr:rowOff>
    </xdr:from>
    <xdr:to>
      <xdr:col>2</xdr:col>
      <xdr:colOff>258788</xdr:colOff>
      <xdr:row>21</xdr:row>
      <xdr:rowOff>172599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/>
      </xdr:nvSpPr>
      <xdr:spPr>
        <a:xfrm>
          <a:off x="327930" y="3650710"/>
          <a:ext cx="1158525" cy="300139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Recommendation</a:t>
          </a:r>
        </a:p>
      </xdr:txBody>
    </xdr:sp>
    <xdr:clientData/>
  </xdr:twoCellAnchor>
  <xdr:twoCellAnchor>
    <xdr:from>
      <xdr:col>0</xdr:col>
      <xdr:colOff>563736</xdr:colOff>
      <xdr:row>25</xdr:row>
      <xdr:rowOff>98187</xdr:rowOff>
    </xdr:from>
    <xdr:to>
      <xdr:col>1</xdr:col>
      <xdr:colOff>560915</xdr:colOff>
      <xdr:row>27</xdr:row>
      <xdr:rowOff>36983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/>
      </xdr:nvSpPr>
      <xdr:spPr>
        <a:xfrm>
          <a:off x="563736" y="4596104"/>
          <a:ext cx="611012" cy="298629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Insights</a:t>
          </a:r>
        </a:p>
      </xdr:txBody>
    </xdr:sp>
    <xdr:clientData/>
  </xdr:twoCellAnchor>
  <xdr:twoCellAnchor editAs="oneCell">
    <xdr:from>
      <xdr:col>0</xdr:col>
      <xdr:colOff>590272</xdr:colOff>
      <xdr:row>22</xdr:row>
      <xdr:rowOff>57066</xdr:rowOff>
    </xdr:from>
    <xdr:to>
      <xdr:col>1</xdr:col>
      <xdr:colOff>556003</xdr:colOff>
      <xdr:row>25</xdr:row>
      <xdr:rowOff>84154</xdr:rowOff>
    </xdr:to>
    <xdr:pic>
      <xdr:nvPicPr>
        <xdr:cNvPr id="39" name="Picture 38" descr="bar chart Icon - Free PNG &amp; SVG 8272751 - Noun Project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272" y="4015233"/>
          <a:ext cx="579564" cy="566838"/>
        </a:xfrm>
        <a:prstGeom prst="rect">
          <a:avLst/>
        </a:prstGeom>
      </xdr:spPr>
    </xdr:pic>
    <xdr:clientData/>
  </xdr:twoCellAnchor>
  <xdr:twoCellAnchor editAs="oneCell">
    <xdr:from>
      <xdr:col>1</xdr:col>
      <xdr:colOff>2269</xdr:colOff>
      <xdr:row>27</xdr:row>
      <xdr:rowOff>147024</xdr:rowOff>
    </xdr:from>
    <xdr:to>
      <xdr:col>1</xdr:col>
      <xdr:colOff>570367</xdr:colOff>
      <xdr:row>30</xdr:row>
      <xdr:rowOff>169704</xdr:rowOff>
    </xdr:to>
    <xdr:pic>
      <xdr:nvPicPr>
        <xdr:cNvPr id="41" name="Picture 40" descr="analysis Icon - Free PNG &amp; SVG 8265445 - Noun Project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102" y="5004774"/>
          <a:ext cx="568098" cy="562430"/>
        </a:xfrm>
        <a:prstGeom prst="rect">
          <a:avLst/>
        </a:prstGeom>
      </xdr:spPr>
    </xdr:pic>
    <xdr:clientData/>
  </xdr:twoCellAnchor>
  <xdr:twoCellAnchor>
    <xdr:from>
      <xdr:col>0</xdr:col>
      <xdr:colOff>470502</xdr:colOff>
      <xdr:row>31</xdr:row>
      <xdr:rowOff>38845</xdr:rowOff>
    </xdr:from>
    <xdr:to>
      <xdr:col>2</xdr:col>
      <xdr:colOff>202217</xdr:colOff>
      <xdr:row>32</xdr:row>
      <xdr:rowOff>102799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/>
      </xdr:nvSpPr>
      <xdr:spPr>
        <a:xfrm>
          <a:off x="470502" y="5616262"/>
          <a:ext cx="959382" cy="24387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Post analysis</a:t>
          </a:r>
        </a:p>
      </xdr:txBody>
    </xdr:sp>
    <xdr:clientData/>
  </xdr:twoCellAnchor>
  <xdr:twoCellAnchor>
    <xdr:from>
      <xdr:col>2</xdr:col>
      <xdr:colOff>444500</xdr:colOff>
      <xdr:row>7</xdr:row>
      <xdr:rowOff>117929</xdr:rowOff>
    </xdr:from>
    <xdr:to>
      <xdr:col>11</xdr:col>
      <xdr:colOff>222249</xdr:colOff>
      <xdr:row>20</xdr:row>
      <xdr:rowOff>105834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288775</xdr:colOff>
      <xdr:row>0</xdr:row>
      <xdr:rowOff>42334</xdr:rowOff>
    </xdr:from>
    <xdr:to>
      <xdr:col>12</xdr:col>
      <xdr:colOff>21166</xdr:colOff>
      <xdr:row>2</xdr:row>
      <xdr:rowOff>52916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/>
      </xdr:nvSpPr>
      <xdr:spPr>
        <a:xfrm>
          <a:off x="1516442" y="42334"/>
          <a:ext cx="5870724" cy="37041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chemeClr val="accent1">
                  <a:lumMod val="50000"/>
                </a:schemeClr>
              </a:solidFill>
            </a:rPr>
            <a:t>Dubex Superstore Sales Profitability</a:t>
          </a:r>
          <a:r>
            <a:rPr lang="en-US" sz="2400" b="1" baseline="0">
              <a:solidFill>
                <a:schemeClr val="accent1">
                  <a:lumMod val="50000"/>
                </a:schemeClr>
              </a:solidFill>
            </a:rPr>
            <a:t> Analysis</a:t>
          </a:r>
          <a:endParaRPr lang="en-US" sz="2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11</xdr:col>
      <xdr:colOff>328083</xdr:colOff>
      <xdr:row>7</xdr:row>
      <xdr:rowOff>126997</xdr:rowOff>
    </xdr:from>
    <xdr:to>
      <xdr:col>17</xdr:col>
      <xdr:colOff>127000</xdr:colOff>
      <xdr:row>20</xdr:row>
      <xdr:rowOff>116417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306916</xdr:colOff>
      <xdr:row>8</xdr:row>
      <xdr:rowOff>21167</xdr:rowOff>
    </xdr:from>
    <xdr:to>
      <xdr:col>25</xdr:col>
      <xdr:colOff>539750</xdr:colOff>
      <xdr:row>20</xdr:row>
      <xdr:rowOff>63500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486833</xdr:colOff>
      <xdr:row>21</xdr:row>
      <xdr:rowOff>31750</xdr:rowOff>
    </xdr:from>
    <xdr:to>
      <xdr:col>16</xdr:col>
      <xdr:colOff>74085</xdr:colOff>
      <xdr:row>34</xdr:row>
      <xdr:rowOff>39688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63501</xdr:colOff>
      <xdr:row>2</xdr:row>
      <xdr:rowOff>127000</xdr:rowOff>
    </xdr:from>
    <xdr:to>
      <xdr:col>9</xdr:col>
      <xdr:colOff>108858</xdr:colOff>
      <xdr:row>7</xdr:row>
      <xdr:rowOff>36286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3746501" y="486833"/>
          <a:ext cx="1886857" cy="808870"/>
        </a:xfrm>
        <a:prstGeom prst="roundRect">
          <a:avLst>
            <a:gd name="adj" fmla="val 14393"/>
          </a:avLst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165698</xdr:colOff>
      <xdr:row>3</xdr:row>
      <xdr:rowOff>4435</xdr:rowOff>
    </xdr:from>
    <xdr:to>
      <xdr:col>9</xdr:col>
      <xdr:colOff>63500</xdr:colOff>
      <xdr:row>6</xdr:row>
      <xdr:rowOff>172358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/>
      </xdr:nvSpPr>
      <xdr:spPr>
        <a:xfrm>
          <a:off x="3812412" y="548721"/>
          <a:ext cx="1721159" cy="712208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>
              <a:solidFill>
                <a:schemeClr val="bg1"/>
              </a:solidFill>
            </a:rPr>
            <a:t>Highest shipping City </a:t>
          </a:r>
        </a:p>
      </xdr:txBody>
    </xdr:sp>
    <xdr:clientData/>
  </xdr:twoCellAnchor>
  <xdr:twoCellAnchor>
    <xdr:from>
      <xdr:col>6</xdr:col>
      <xdr:colOff>544886</xdr:colOff>
      <xdr:row>4</xdr:row>
      <xdr:rowOff>108857</xdr:rowOff>
    </xdr:from>
    <xdr:to>
      <xdr:col>8</xdr:col>
      <xdr:colOff>576943</xdr:colOff>
      <xdr:row>5</xdr:row>
      <xdr:rowOff>168728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/>
      </xdr:nvSpPr>
      <xdr:spPr>
        <a:xfrm>
          <a:off x="4191600" y="834571"/>
          <a:ext cx="1247629" cy="24130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bg1"/>
              </a:solidFill>
            </a:rPr>
            <a:t>New York</a:t>
          </a:r>
        </a:p>
      </xdr:txBody>
    </xdr:sp>
    <xdr:clientData/>
  </xdr:twoCellAnchor>
  <xdr:twoCellAnchor>
    <xdr:from>
      <xdr:col>9</xdr:col>
      <xdr:colOff>361043</xdr:colOff>
      <xdr:row>2</xdr:row>
      <xdr:rowOff>137584</xdr:rowOff>
    </xdr:from>
    <xdr:to>
      <xdr:col>12</xdr:col>
      <xdr:colOff>453570</xdr:colOff>
      <xdr:row>7</xdr:row>
      <xdr:rowOff>7258</xdr:rowOff>
    </xdr:to>
    <xdr:sp macro="" textlink="">
      <xdr:nvSpPr>
        <xdr:cNvPr id="54" name="Rounded Rectangle 53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/>
      </xdr:nvSpPr>
      <xdr:spPr>
        <a:xfrm>
          <a:off x="5885543" y="497417"/>
          <a:ext cx="1934027" cy="769258"/>
        </a:xfrm>
        <a:prstGeom prst="roundRect">
          <a:avLst>
            <a:gd name="adj" fmla="val 13113"/>
          </a:avLst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50801</xdr:colOff>
      <xdr:row>2</xdr:row>
      <xdr:rowOff>137584</xdr:rowOff>
    </xdr:from>
    <xdr:to>
      <xdr:col>16</xdr:col>
      <xdr:colOff>163286</xdr:colOff>
      <xdr:row>7</xdr:row>
      <xdr:rowOff>27214</xdr:rowOff>
    </xdr:to>
    <xdr:sp macro="" textlink="">
      <xdr:nvSpPr>
        <xdr:cNvPr id="55" name="Rounded Rectangle 54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/>
      </xdr:nvSpPr>
      <xdr:spPr>
        <a:xfrm>
          <a:off x="8030634" y="497417"/>
          <a:ext cx="1953985" cy="789214"/>
        </a:xfrm>
        <a:prstGeom prst="roundRect">
          <a:avLst>
            <a:gd name="adj" fmla="val 11103"/>
          </a:avLst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465055</xdr:colOff>
      <xdr:row>3</xdr:row>
      <xdr:rowOff>22579</xdr:rowOff>
    </xdr:from>
    <xdr:to>
      <xdr:col>12</xdr:col>
      <xdr:colOff>390070</xdr:colOff>
      <xdr:row>4</xdr:row>
      <xdr:rowOff>163287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D00-000038000000}"/>
            </a:ext>
          </a:extLst>
        </xdr:cNvPr>
        <xdr:cNvSpPr/>
      </xdr:nvSpPr>
      <xdr:spPr>
        <a:xfrm>
          <a:off x="5935126" y="566865"/>
          <a:ext cx="1748373" cy="322136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>
              <a:solidFill>
                <a:schemeClr val="bg1"/>
              </a:solidFill>
            </a:rPr>
            <a:t>Peak Month by Sales</a:t>
          </a:r>
        </a:p>
      </xdr:txBody>
    </xdr:sp>
    <xdr:clientData/>
  </xdr:twoCellAnchor>
  <xdr:twoCellAnchor>
    <xdr:from>
      <xdr:col>10</xdr:col>
      <xdr:colOff>216500</xdr:colOff>
      <xdr:row>4</xdr:row>
      <xdr:rowOff>107042</xdr:rowOff>
    </xdr:from>
    <xdr:to>
      <xdr:col>12</xdr:col>
      <xdr:colOff>248557</xdr:colOff>
      <xdr:row>5</xdr:row>
      <xdr:rowOff>166913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D00-000039000000}"/>
            </a:ext>
          </a:extLst>
        </xdr:cNvPr>
        <xdr:cNvSpPr/>
      </xdr:nvSpPr>
      <xdr:spPr>
        <a:xfrm>
          <a:off x="6294357" y="832756"/>
          <a:ext cx="1247629" cy="24130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bg1"/>
              </a:solidFill>
            </a:rPr>
            <a:t>December</a:t>
          </a:r>
        </a:p>
      </xdr:txBody>
    </xdr:sp>
    <xdr:clientData/>
  </xdr:twoCellAnchor>
  <xdr:twoCellAnchor>
    <xdr:from>
      <xdr:col>13</xdr:col>
      <xdr:colOff>153300</xdr:colOff>
      <xdr:row>2</xdr:row>
      <xdr:rowOff>135669</xdr:rowOff>
    </xdr:from>
    <xdr:to>
      <xdr:col>15</xdr:col>
      <xdr:colOff>597201</xdr:colOff>
      <xdr:row>6</xdr:row>
      <xdr:rowOff>42333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SpPr/>
      </xdr:nvSpPr>
      <xdr:spPr>
        <a:xfrm>
          <a:off x="8133133" y="495502"/>
          <a:ext cx="1671568" cy="626331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>
              <a:solidFill>
                <a:schemeClr val="bg1"/>
              </a:solidFill>
            </a:rPr>
            <a:t>Top customer by Revenue</a:t>
          </a:r>
        </a:p>
      </xdr:txBody>
    </xdr:sp>
    <xdr:clientData/>
  </xdr:twoCellAnchor>
  <xdr:twoCellAnchor>
    <xdr:from>
      <xdr:col>13</xdr:col>
      <xdr:colOff>430888</xdr:colOff>
      <xdr:row>5</xdr:row>
      <xdr:rowOff>25097</xdr:rowOff>
    </xdr:from>
    <xdr:to>
      <xdr:col>15</xdr:col>
      <xdr:colOff>462945</xdr:colOff>
      <xdr:row>6</xdr:row>
      <xdr:rowOff>84969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SpPr/>
      </xdr:nvSpPr>
      <xdr:spPr>
        <a:xfrm>
          <a:off x="8410721" y="924680"/>
          <a:ext cx="1259724" cy="239789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bg1"/>
              </a:solidFill>
            </a:rPr>
            <a:t>Company</a:t>
          </a:r>
          <a:r>
            <a:rPr lang="en-US" sz="1400" b="1" baseline="0">
              <a:solidFill>
                <a:schemeClr val="bg1"/>
              </a:solidFill>
            </a:rPr>
            <a:t> D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442687</xdr:colOff>
      <xdr:row>2</xdr:row>
      <xdr:rowOff>125185</xdr:rowOff>
    </xdr:from>
    <xdr:to>
      <xdr:col>5</xdr:col>
      <xdr:colOff>488043</xdr:colOff>
      <xdr:row>7</xdr:row>
      <xdr:rowOff>34471</xdr:rowOff>
    </xdr:to>
    <xdr:sp macro="" textlink="">
      <xdr:nvSpPr>
        <xdr:cNvPr id="46" name="Rounded Rectangle 45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/>
      </xdr:nvSpPr>
      <xdr:spPr>
        <a:xfrm>
          <a:off x="1670354" y="485018"/>
          <a:ext cx="1886856" cy="808870"/>
        </a:xfrm>
        <a:prstGeom prst="roundRect">
          <a:avLst>
            <a:gd name="adj" fmla="val 10467"/>
          </a:avLst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503156</xdr:colOff>
      <xdr:row>2</xdr:row>
      <xdr:rowOff>142322</xdr:rowOff>
    </xdr:from>
    <xdr:to>
      <xdr:col>5</xdr:col>
      <xdr:colOff>453570</xdr:colOff>
      <xdr:row>6</xdr:row>
      <xdr:rowOff>36286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/>
      </xdr:nvSpPr>
      <xdr:spPr>
        <a:xfrm>
          <a:off x="1718727" y="505179"/>
          <a:ext cx="1773772" cy="619678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>
              <a:solidFill>
                <a:schemeClr val="bg1"/>
              </a:solidFill>
            </a:rPr>
            <a:t>Best Transaction by amount</a:t>
          </a:r>
        </a:p>
      </xdr:txBody>
    </xdr:sp>
    <xdr:clientData/>
  </xdr:twoCellAnchor>
  <xdr:twoCellAnchor>
    <xdr:from>
      <xdr:col>3</xdr:col>
      <xdr:colOff>419698</xdr:colOff>
      <xdr:row>5</xdr:row>
      <xdr:rowOff>67937</xdr:rowOff>
    </xdr:from>
    <xdr:to>
      <xdr:col>5</xdr:col>
      <xdr:colOff>451755</xdr:colOff>
      <xdr:row>6</xdr:row>
      <xdr:rowOff>170544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SpPr/>
      </xdr:nvSpPr>
      <xdr:spPr>
        <a:xfrm>
          <a:off x="2243055" y="975080"/>
          <a:ext cx="1247629" cy="284035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bg1"/>
              </a:solidFill>
            </a:rPr>
            <a:t>0-1000</a:t>
          </a:r>
        </a:p>
      </xdr:txBody>
    </xdr:sp>
    <xdr:clientData/>
  </xdr:twoCellAnchor>
  <xdr:twoCellAnchor>
    <xdr:from>
      <xdr:col>2</xdr:col>
      <xdr:colOff>508000</xdr:colOff>
      <xdr:row>21</xdr:row>
      <xdr:rowOff>103188</xdr:rowOff>
    </xdr:from>
    <xdr:to>
      <xdr:col>9</xdr:col>
      <xdr:colOff>301625</xdr:colOff>
      <xdr:row>33</xdr:row>
      <xdr:rowOff>119062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850C365-BB96-4159-BB65-F421E2A3FA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7200" y="3970338"/>
              <a:ext cx="4060825" cy="22256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179918</xdr:colOff>
      <xdr:row>21</xdr:row>
      <xdr:rowOff>39687</xdr:rowOff>
    </xdr:from>
    <xdr:to>
      <xdr:col>20</xdr:col>
      <xdr:colOff>238125</xdr:colOff>
      <xdr:row>34</xdr:row>
      <xdr:rowOff>10582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40C504-E300-4E7B-A6B6-F8C6C84EC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381003</xdr:colOff>
      <xdr:row>3</xdr:row>
      <xdr:rowOff>71195</xdr:rowOff>
    </xdr:from>
    <xdr:to>
      <xdr:col>18</xdr:col>
      <xdr:colOff>465669</xdr:colOff>
      <xdr:row>4</xdr:row>
      <xdr:rowOff>124111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03CD2FF4-0212-4AA4-BFD4-766E36FBDF1E}"/>
            </a:ext>
          </a:extLst>
        </xdr:cNvPr>
        <xdr:cNvSpPr/>
      </xdr:nvSpPr>
      <xdr:spPr>
        <a:xfrm>
          <a:off x="10202336" y="610945"/>
          <a:ext cx="1312333" cy="232833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/>
            <a:t>Mariya Sergienko</a:t>
          </a:r>
          <a:endParaRPr lang="en-NG" sz="1000"/>
        </a:p>
      </xdr:txBody>
    </xdr:sp>
    <xdr:clientData/>
  </xdr:twoCellAnchor>
  <xdr:twoCellAnchor>
    <xdr:from>
      <xdr:col>18</xdr:col>
      <xdr:colOff>575737</xdr:colOff>
      <xdr:row>3</xdr:row>
      <xdr:rowOff>76967</xdr:rowOff>
    </xdr:from>
    <xdr:to>
      <xdr:col>21</xdr:col>
      <xdr:colOff>21170</xdr:colOff>
      <xdr:row>4</xdr:row>
      <xdr:rowOff>124112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9E570626-5481-4893-780B-EC693C342C82}"/>
            </a:ext>
          </a:extLst>
        </xdr:cNvPr>
        <xdr:cNvSpPr/>
      </xdr:nvSpPr>
      <xdr:spPr>
        <a:xfrm>
          <a:off x="11624737" y="616717"/>
          <a:ext cx="1286933" cy="227062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/>
            <a:t>Michael Neipper</a:t>
          </a:r>
          <a:endParaRPr lang="en-NG" sz="1000"/>
        </a:p>
      </xdr:txBody>
    </xdr:sp>
    <xdr:clientData/>
  </xdr:twoCellAnchor>
  <xdr:twoCellAnchor>
    <xdr:from>
      <xdr:col>21</xdr:col>
      <xdr:colOff>84670</xdr:colOff>
      <xdr:row>3</xdr:row>
      <xdr:rowOff>90254</xdr:rowOff>
    </xdr:from>
    <xdr:to>
      <xdr:col>23</xdr:col>
      <xdr:colOff>136625</xdr:colOff>
      <xdr:row>4</xdr:row>
      <xdr:rowOff>135658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025761FA-543A-F6F7-7558-1B22DA0AC33A}"/>
            </a:ext>
          </a:extLst>
        </xdr:cNvPr>
        <xdr:cNvSpPr/>
      </xdr:nvSpPr>
      <xdr:spPr>
        <a:xfrm>
          <a:off x="12975170" y="630004"/>
          <a:ext cx="1279622" cy="225321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/>
            <a:t>Nancy Freehafer</a:t>
          </a:r>
          <a:endParaRPr lang="en-NG" sz="1000"/>
        </a:p>
      </xdr:txBody>
    </xdr:sp>
    <xdr:clientData/>
  </xdr:twoCellAnchor>
  <xdr:twoCellAnchor>
    <xdr:from>
      <xdr:col>23</xdr:col>
      <xdr:colOff>211669</xdr:colOff>
      <xdr:row>3</xdr:row>
      <xdr:rowOff>81778</xdr:rowOff>
    </xdr:from>
    <xdr:to>
      <xdr:col>25</xdr:col>
      <xdr:colOff>201087</xdr:colOff>
      <xdr:row>4</xdr:row>
      <xdr:rowOff>124111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38CC90E3-1359-3F98-D020-DBDF88D26243}"/>
            </a:ext>
          </a:extLst>
        </xdr:cNvPr>
        <xdr:cNvSpPr/>
      </xdr:nvSpPr>
      <xdr:spPr>
        <a:xfrm>
          <a:off x="14329836" y="621528"/>
          <a:ext cx="1217084" cy="2222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/>
            <a:t>Robert Zare</a:t>
          </a:r>
          <a:endParaRPr lang="en-NG" sz="1000"/>
        </a:p>
      </xdr:txBody>
    </xdr:sp>
    <xdr:clientData/>
  </xdr:twoCellAnchor>
  <xdr:twoCellAnchor>
    <xdr:from>
      <xdr:col>25</xdr:col>
      <xdr:colOff>249114</xdr:colOff>
      <xdr:row>3</xdr:row>
      <xdr:rowOff>76522</xdr:rowOff>
    </xdr:from>
    <xdr:to>
      <xdr:col>25</xdr:col>
      <xdr:colOff>444499</xdr:colOff>
      <xdr:row>4</xdr:row>
      <xdr:rowOff>148978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652E9F04-B1CB-818F-7C57-E72C390084A1}"/>
            </a:ext>
          </a:extLst>
        </xdr:cNvPr>
        <xdr:cNvSpPr/>
      </xdr:nvSpPr>
      <xdr:spPr>
        <a:xfrm>
          <a:off x="15594947" y="616272"/>
          <a:ext cx="195385" cy="252373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NG" sz="1000"/>
        </a:p>
      </xdr:txBody>
    </xdr:sp>
    <xdr:clientData/>
  </xdr:twoCellAnchor>
  <xdr:twoCellAnchor>
    <xdr:from>
      <xdr:col>16</xdr:col>
      <xdr:colOff>386448</xdr:colOff>
      <xdr:row>5</xdr:row>
      <xdr:rowOff>2581</xdr:rowOff>
    </xdr:from>
    <xdr:to>
      <xdr:col>18</xdr:col>
      <xdr:colOff>445713</xdr:colOff>
      <xdr:row>6</xdr:row>
      <xdr:rowOff>51236</xdr:rowOff>
    </xdr:to>
    <xdr:sp macro="" textlink="">
      <xdr:nvSpPr>
        <xdr:cNvPr id="66" name="Rectangle: Rounded Corners 65">
          <a:extLst>
            <a:ext uri="{FF2B5EF4-FFF2-40B4-BE49-F238E27FC236}">
              <a16:creationId xmlns:a16="http://schemas.microsoft.com/office/drawing/2014/main" id="{5FFC9987-A96F-CC92-625F-621EE2BAD6AC}"/>
            </a:ext>
          </a:extLst>
        </xdr:cNvPr>
        <xdr:cNvSpPr/>
      </xdr:nvSpPr>
      <xdr:spPr>
        <a:xfrm>
          <a:off x="10207781" y="902164"/>
          <a:ext cx="1286932" cy="228572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/>
            <a:t>Almonds</a:t>
          </a:r>
          <a:endParaRPr lang="en-NG" sz="1000"/>
        </a:p>
      </xdr:txBody>
    </xdr:sp>
    <xdr:clientData/>
  </xdr:twoCellAnchor>
  <xdr:twoCellAnchor>
    <xdr:from>
      <xdr:col>18</xdr:col>
      <xdr:colOff>561525</xdr:colOff>
      <xdr:row>5</xdr:row>
      <xdr:rowOff>18916</xdr:rowOff>
    </xdr:from>
    <xdr:to>
      <xdr:col>21</xdr:col>
      <xdr:colOff>6958</xdr:colOff>
      <xdr:row>6</xdr:row>
      <xdr:rowOff>67571</xdr:rowOff>
    </xdr:to>
    <xdr:sp macro="" textlink="">
      <xdr:nvSpPr>
        <xdr:cNvPr id="67" name="Rectangle: Rounded Corners 66">
          <a:extLst>
            <a:ext uri="{FF2B5EF4-FFF2-40B4-BE49-F238E27FC236}">
              <a16:creationId xmlns:a16="http://schemas.microsoft.com/office/drawing/2014/main" id="{3C96F620-9E1B-4D63-6668-AD590AB6BA6C}"/>
            </a:ext>
          </a:extLst>
        </xdr:cNvPr>
        <xdr:cNvSpPr/>
      </xdr:nvSpPr>
      <xdr:spPr>
        <a:xfrm>
          <a:off x="11610525" y="918499"/>
          <a:ext cx="1286933" cy="228572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/>
            <a:t>Beer</a:t>
          </a:r>
          <a:endParaRPr lang="en-NG" sz="1000"/>
        </a:p>
      </xdr:txBody>
    </xdr:sp>
    <xdr:clientData/>
  </xdr:twoCellAnchor>
  <xdr:twoCellAnchor>
    <xdr:from>
      <xdr:col>21</xdr:col>
      <xdr:colOff>88001</xdr:colOff>
      <xdr:row>5</xdr:row>
      <xdr:rowOff>26178</xdr:rowOff>
    </xdr:from>
    <xdr:to>
      <xdr:col>23</xdr:col>
      <xdr:colOff>147267</xdr:colOff>
      <xdr:row>6</xdr:row>
      <xdr:rowOff>74833</xdr:rowOff>
    </xdr:to>
    <xdr:sp macro="" textlink="">
      <xdr:nvSpPr>
        <xdr:cNvPr id="68" name="Rectangle: Rounded Corners 67">
          <a:extLst>
            <a:ext uri="{FF2B5EF4-FFF2-40B4-BE49-F238E27FC236}">
              <a16:creationId xmlns:a16="http://schemas.microsoft.com/office/drawing/2014/main" id="{9065F970-CE45-6D63-2302-0793D172DBCC}"/>
            </a:ext>
          </a:extLst>
        </xdr:cNvPr>
        <xdr:cNvSpPr/>
      </xdr:nvSpPr>
      <xdr:spPr>
        <a:xfrm>
          <a:off x="12978501" y="925761"/>
          <a:ext cx="1286933" cy="228572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/>
            <a:t>Boysenberry Sp...</a:t>
          </a:r>
          <a:endParaRPr lang="en-NG" sz="1000"/>
        </a:p>
      </xdr:txBody>
    </xdr:sp>
    <xdr:clientData/>
  </xdr:twoCellAnchor>
  <xdr:twoCellAnchor>
    <xdr:from>
      <xdr:col>23</xdr:col>
      <xdr:colOff>219233</xdr:colOff>
      <xdr:row>5</xdr:row>
      <xdr:rowOff>33437</xdr:rowOff>
    </xdr:from>
    <xdr:to>
      <xdr:col>25</xdr:col>
      <xdr:colOff>201085</xdr:colOff>
      <xdr:row>6</xdr:row>
      <xdr:rowOff>84663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F52D1B97-006D-5D08-7014-35A0BC69E7D0}"/>
            </a:ext>
          </a:extLst>
        </xdr:cNvPr>
        <xdr:cNvSpPr/>
      </xdr:nvSpPr>
      <xdr:spPr>
        <a:xfrm>
          <a:off x="14337400" y="933020"/>
          <a:ext cx="1209518" cy="231143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/>
            <a:t>Cajun Seasoning </a:t>
          </a:r>
          <a:endParaRPr lang="en-NG" sz="1000"/>
        </a:p>
      </xdr:txBody>
    </xdr:sp>
    <xdr:clientData/>
  </xdr:twoCellAnchor>
  <xdr:twoCellAnchor>
    <xdr:from>
      <xdr:col>25</xdr:col>
      <xdr:colOff>250095</xdr:colOff>
      <xdr:row>5</xdr:row>
      <xdr:rowOff>43303</xdr:rowOff>
    </xdr:from>
    <xdr:to>
      <xdr:col>25</xdr:col>
      <xdr:colOff>445480</xdr:colOff>
      <xdr:row>6</xdr:row>
      <xdr:rowOff>115759</xdr:rowOff>
    </xdr:to>
    <xdr:sp macro="" textlink="">
      <xdr:nvSpPr>
        <xdr:cNvPr id="73" name="Rectangle: Rounded Corners 72">
          <a:extLst>
            <a:ext uri="{FF2B5EF4-FFF2-40B4-BE49-F238E27FC236}">
              <a16:creationId xmlns:a16="http://schemas.microsoft.com/office/drawing/2014/main" id="{C822AD06-3B0A-35C5-C4F5-A6B35A2D0037}"/>
            </a:ext>
          </a:extLst>
        </xdr:cNvPr>
        <xdr:cNvSpPr/>
      </xdr:nvSpPr>
      <xdr:spPr>
        <a:xfrm>
          <a:off x="15595928" y="942886"/>
          <a:ext cx="195385" cy="252373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NG" sz="1000"/>
        </a:p>
      </xdr:txBody>
    </xdr:sp>
    <xdr:clientData/>
  </xdr:twoCellAnchor>
  <xdr:twoCellAnchor>
    <xdr:from>
      <xdr:col>20</xdr:col>
      <xdr:colOff>341312</xdr:colOff>
      <xdr:row>21</xdr:row>
      <xdr:rowOff>58737</xdr:rowOff>
    </xdr:from>
    <xdr:to>
      <xdr:col>25</xdr:col>
      <xdr:colOff>571500</xdr:colOff>
      <xdr:row>34</xdr:row>
      <xdr:rowOff>7938</xdr:rowOff>
    </xdr:to>
    <xdr:sp macro="" textlink="">
      <xdr:nvSpPr>
        <xdr:cNvPr id="81" name="Rectangle: Rounded Corners 80">
          <a:extLst>
            <a:ext uri="{FF2B5EF4-FFF2-40B4-BE49-F238E27FC236}">
              <a16:creationId xmlns:a16="http://schemas.microsoft.com/office/drawing/2014/main" id="{34197327-3214-CB38-586D-8B5A37061CB7}"/>
            </a:ext>
          </a:extLst>
        </xdr:cNvPr>
        <xdr:cNvSpPr/>
      </xdr:nvSpPr>
      <xdr:spPr>
        <a:xfrm>
          <a:off x="12617979" y="3836987"/>
          <a:ext cx="3299354" cy="2288118"/>
        </a:xfrm>
        <a:prstGeom prst="roundRect">
          <a:avLst>
            <a:gd name="adj" fmla="val 4907"/>
          </a:avLst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20</xdr:col>
      <xdr:colOff>404813</xdr:colOff>
      <xdr:row>21</xdr:row>
      <xdr:rowOff>95251</xdr:rowOff>
    </xdr:from>
    <xdr:to>
      <xdr:col>25</xdr:col>
      <xdr:colOff>531812</xdr:colOff>
      <xdr:row>33</xdr:row>
      <xdr:rowOff>119063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EA3D6D8C-D06C-445B-80B8-07EDB39192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96813" y="3962401"/>
              <a:ext cx="3174999" cy="22336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282575</xdr:colOff>
      <xdr:row>0</xdr:row>
      <xdr:rowOff>158750</xdr:rowOff>
    </xdr:from>
    <xdr:to>
      <xdr:col>20</xdr:col>
      <xdr:colOff>177800</xdr:colOff>
      <xdr:row>50</xdr:row>
      <xdr:rowOff>82550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7597775" y="158750"/>
          <a:ext cx="4772025" cy="9131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INSIGHT AND RECOMMENDATION</a:t>
          </a:r>
        </a:p>
        <a:p>
          <a:pPr algn="l"/>
          <a:endParaRPr lang="en-US" sz="900"/>
        </a:p>
        <a:p>
          <a:pPr algn="ctr"/>
          <a:r>
            <a:rPr lang="en-US" sz="900"/>
            <a:t>KEY INSIGHT BY REGION</a:t>
          </a:r>
        </a:p>
        <a:p>
          <a:r>
            <a:rPr lang="en-US" sz="900" b="1"/>
            <a:t>Key Insight by region:</a:t>
          </a:r>
        </a:p>
        <a:p>
          <a:r>
            <a:rPr lang="en-US" sz="900" b="1"/>
            <a:t>- </a:t>
          </a:r>
          <a:r>
            <a:rPr lang="en-US" sz="900" b="0"/>
            <a:t>North Region</a:t>
          </a:r>
          <a:r>
            <a:rPr lang="en-US" sz="900" b="0" baseline="0"/>
            <a:t> is the</a:t>
          </a:r>
          <a:r>
            <a:rPr lang="en-US" sz="900" b="0"/>
            <a:t> Strongest Overall</a:t>
          </a:r>
        </a:p>
        <a:p>
          <a:r>
            <a:rPr lang="en-US" sz="900" b="0"/>
            <a:t>Nancy Freehafer = Highest revenue in company</a:t>
          </a:r>
        </a:p>
        <a:p>
          <a:r>
            <a:rPr lang="en-US" sz="900" b="0"/>
            <a:t>Micheal Neipper = Strong performance pattern</a:t>
          </a:r>
        </a:p>
        <a:p>
          <a:endParaRPr lang="en-US" sz="900" b="0"/>
        </a:p>
        <a:p>
          <a:r>
            <a:rPr lang="en-US" sz="900" b="0"/>
            <a:t>- South Region</a:t>
          </a:r>
          <a:r>
            <a:rPr lang="en-US" sz="900" b="0" baseline="0"/>
            <a:t> is a</a:t>
          </a:r>
          <a:r>
            <a:rPr lang="en-US" sz="900" b="0"/>
            <a:t>lso Strong</a:t>
          </a:r>
        </a:p>
        <a:p>
          <a:r>
            <a:rPr lang="en-US" sz="900" b="0"/>
            <a:t>Arnee is 2nd highest revenue</a:t>
          </a:r>
        </a:p>
        <a:p>
          <a:endParaRPr lang="en-US" sz="900" b="0"/>
        </a:p>
        <a:p>
          <a:r>
            <a:rPr lang="en-US" sz="900" b="0"/>
            <a:t>- West Region is</a:t>
          </a:r>
          <a:r>
            <a:rPr lang="en-US" sz="900" b="0" baseline="0"/>
            <a:t> the w</a:t>
          </a:r>
          <a:r>
            <a:rPr lang="en-US" sz="900" b="0"/>
            <a:t>eakest</a:t>
          </a:r>
        </a:p>
        <a:p>
          <a:r>
            <a:rPr lang="en-US" sz="900" b="0"/>
            <a:t>Jan Kotas = Lowest performer sales person </a:t>
          </a:r>
        </a:p>
        <a:p>
          <a:r>
            <a:rPr lang="en-US" sz="900" b="0"/>
            <a:t>Robert Zare = 2nd lowest performer sales</a:t>
          </a:r>
          <a:r>
            <a:rPr lang="en-US" sz="900" b="0" baseline="0"/>
            <a:t> person </a:t>
          </a:r>
        </a:p>
        <a:p>
          <a:r>
            <a:rPr lang="en-US" sz="900"/>
            <a:t>Only Mariya performed moderately well from the west region</a:t>
          </a:r>
        </a:p>
        <a:p>
          <a:endParaRPr lang="en-US" sz="900" b="0"/>
        </a:p>
        <a:p>
          <a:r>
            <a:rPr lang="en-US" sz="900"/>
            <a:t>West region may have:</a:t>
          </a:r>
          <a:r>
            <a:rPr lang="en-US" sz="900" baseline="0"/>
            <a:t> </a:t>
          </a:r>
        </a:p>
        <a:p>
          <a:r>
            <a:rPr lang="en-US" sz="900"/>
            <a:t>- Harder market conditions</a:t>
          </a:r>
        </a:p>
        <a:p>
          <a:r>
            <a:rPr lang="en-US" sz="900"/>
            <a:t>- Poor account distribution</a:t>
          </a:r>
        </a:p>
        <a:p>
          <a:r>
            <a:rPr lang="en-US" sz="900"/>
            <a:t>- Weak product mix</a:t>
          </a:r>
        </a:p>
        <a:p>
          <a:r>
            <a:rPr lang="en-US" sz="900"/>
            <a:t>- Lower-performing reps</a:t>
          </a:r>
        </a:p>
        <a:p>
          <a:endParaRPr lang="en-US" sz="900"/>
        </a:p>
        <a:p>
          <a:r>
            <a:rPr lang="en-US" sz="900" b="1"/>
            <a:t>Recommendation </a:t>
          </a:r>
        </a:p>
        <a:p>
          <a:r>
            <a:rPr lang="en-US" sz="900"/>
            <a:t>Check out Strategic Opportunity</a:t>
          </a:r>
          <a:r>
            <a:rPr lang="en-US" sz="900" baseline="0"/>
            <a:t> and </a:t>
          </a:r>
          <a:r>
            <a:rPr lang="en-US" sz="900"/>
            <a:t>Investigate:</a:t>
          </a:r>
        </a:p>
        <a:p>
          <a:r>
            <a:rPr lang="en-US" sz="900"/>
            <a:t>- If the west region</a:t>
          </a:r>
          <a:r>
            <a:rPr lang="en-US" sz="900" baseline="0"/>
            <a:t> is </a:t>
          </a:r>
          <a:r>
            <a:rPr lang="en-US" sz="900"/>
            <a:t>selling too much low-demand products</a:t>
          </a:r>
        </a:p>
        <a:p>
          <a:r>
            <a:rPr lang="en-US" sz="900"/>
            <a:t>- If the west region is targeting weaker companies</a:t>
          </a:r>
        </a:p>
        <a:p>
          <a:r>
            <a:rPr lang="en-US" sz="900"/>
            <a:t>- If training Is needed</a:t>
          </a:r>
          <a:r>
            <a:rPr lang="en-US" sz="900" baseline="0"/>
            <a:t> for the west sales rep</a:t>
          </a:r>
          <a:endParaRPr lang="en-US" sz="900"/>
        </a:p>
        <a:p>
          <a:endParaRPr lang="en-US" sz="900"/>
        </a:p>
        <a:p>
          <a:pPr algn="ctr"/>
          <a:r>
            <a:rPr lang="en-US" sz="900"/>
            <a:t>KEY INSIGHT</a:t>
          </a:r>
          <a:r>
            <a:rPr lang="en-US" sz="900" baseline="0"/>
            <a:t> BY SALES </a:t>
          </a:r>
          <a:endParaRPr lang="en-US" sz="900"/>
        </a:p>
        <a:p>
          <a:r>
            <a:rPr lang="en-US" sz="900" b="1"/>
            <a:t>Key Insight</a:t>
          </a:r>
          <a:r>
            <a:rPr lang="en-US" sz="900" b="1" baseline="0"/>
            <a:t> by Sales</a:t>
          </a:r>
          <a:endParaRPr lang="en-US" sz="900" b="1"/>
        </a:p>
        <a:p>
          <a:r>
            <a:rPr lang="en-US" sz="900"/>
            <a:t>-</a:t>
          </a:r>
          <a:r>
            <a:rPr lang="en-US" sz="900" baseline="0"/>
            <a:t> </a:t>
          </a:r>
          <a:r>
            <a:rPr lang="en-US" sz="900" b="0"/>
            <a:t>There is clear seasonality in the business.</a:t>
          </a:r>
          <a:r>
            <a:rPr lang="en-US" sz="900" b="0" baseline="0"/>
            <a:t> </a:t>
          </a:r>
        </a:p>
        <a:p>
          <a:r>
            <a:rPr lang="en-US" sz="900" b="0" baseline="0"/>
            <a:t>- </a:t>
          </a:r>
          <a:r>
            <a:rPr lang="en-US" sz="900" b="0"/>
            <a:t>June &amp; December are peak revenue months in all region company-wide.</a:t>
          </a:r>
        </a:p>
        <a:p>
          <a:r>
            <a:rPr lang="en-US" sz="900" b="0"/>
            <a:t>- February, April, November are weaker months.</a:t>
          </a:r>
        </a:p>
        <a:p>
          <a:r>
            <a:rPr lang="en-US" sz="900" b="0"/>
            <a:t>-</a:t>
          </a:r>
          <a:r>
            <a:rPr lang="en-US" sz="900" b="0" baseline="0"/>
            <a:t> </a:t>
          </a:r>
          <a:r>
            <a:rPr lang="en-US" sz="900" b="0"/>
            <a:t>There</a:t>
          </a:r>
          <a:r>
            <a:rPr lang="en-US" sz="900" b="0" baseline="0"/>
            <a:t> is b</a:t>
          </a:r>
          <a:r>
            <a:rPr lang="en-US" sz="900" b="0"/>
            <a:t>udget cycles</a:t>
          </a:r>
        </a:p>
        <a:p>
          <a:r>
            <a:rPr lang="en-US" sz="900" b="0"/>
            <a:t>-</a:t>
          </a:r>
          <a:r>
            <a:rPr lang="en-US" sz="900" b="0" baseline="0"/>
            <a:t> </a:t>
          </a:r>
          <a:r>
            <a:rPr lang="en-US" sz="900" b="0"/>
            <a:t>End-of-quarter or end-of-year buying behavior</a:t>
          </a:r>
        </a:p>
        <a:p>
          <a:r>
            <a:rPr lang="en-US" sz="900" b="0"/>
            <a:t>-</a:t>
          </a:r>
          <a:r>
            <a:rPr lang="en-US" sz="900" b="0" baseline="0"/>
            <a:t> </a:t>
          </a:r>
          <a:r>
            <a:rPr lang="en-US" sz="900" b="0"/>
            <a:t>Seasonal demand for beverages and condiments</a:t>
          </a:r>
        </a:p>
        <a:p>
          <a:endParaRPr lang="en-US" sz="900" b="0"/>
        </a:p>
        <a:p>
          <a:r>
            <a:rPr lang="en-US" sz="900" b="1"/>
            <a:t>Recommendation:</a:t>
          </a:r>
        </a:p>
        <a:p>
          <a:r>
            <a:rPr lang="en-US" sz="900"/>
            <a:t>- Run promotions in February &amp; April to offset low months</a:t>
          </a:r>
        </a:p>
        <a:p>
          <a:r>
            <a:rPr lang="en-US" sz="900"/>
            <a:t>- Prepare inventory and push campaigns before June &amp; December peaks</a:t>
          </a:r>
        </a:p>
        <a:p>
          <a:endParaRPr lang="en-US" sz="900"/>
        </a:p>
        <a:p>
          <a:pPr algn="ctr"/>
          <a:r>
            <a:rPr lang="en-US" sz="900" b="0"/>
            <a:t>KEY INSIGHT BY PRODUCT </a:t>
          </a:r>
        </a:p>
        <a:p>
          <a:r>
            <a:rPr lang="en-US" sz="900" b="1"/>
            <a:t>Key insight by product performance </a:t>
          </a:r>
        </a:p>
        <a:p>
          <a:r>
            <a:rPr lang="en-US" sz="900" b="0"/>
            <a:t>-</a:t>
          </a:r>
          <a:r>
            <a:rPr lang="en-US" sz="900" b="0" baseline="0"/>
            <a:t> </a:t>
          </a:r>
          <a:r>
            <a:rPr lang="en-US" sz="900" b="0"/>
            <a:t>Beverages dominate</a:t>
          </a:r>
        </a:p>
        <a:p>
          <a:r>
            <a:rPr lang="en-US" sz="900" b="0"/>
            <a:t>-</a:t>
          </a:r>
          <a:r>
            <a:rPr lang="en-US" sz="900" b="0" baseline="0"/>
            <a:t> </a:t>
          </a:r>
          <a:r>
            <a:rPr lang="en-US" sz="900" b="0"/>
            <a:t>Top sales person</a:t>
          </a:r>
          <a:r>
            <a:rPr lang="en-US" sz="900" b="0" baseline="0"/>
            <a:t> who sold</a:t>
          </a:r>
          <a:r>
            <a:rPr lang="en-US" sz="900" b="0"/>
            <a:t> Beverages are:</a:t>
          </a:r>
          <a:r>
            <a:rPr lang="en-US" sz="900" b="0" baseline="0"/>
            <a:t>  </a:t>
          </a:r>
        </a:p>
        <a:p>
          <a:r>
            <a:rPr lang="en-US" sz="900" b="0"/>
            <a:t>Nancy (highest overall revenue),</a:t>
          </a:r>
          <a:r>
            <a:rPr lang="en-US" sz="900" b="0" baseline="0"/>
            <a:t>  </a:t>
          </a:r>
          <a:r>
            <a:rPr lang="en-US" sz="900" b="0"/>
            <a:t>Micheal,</a:t>
          </a:r>
        </a:p>
        <a:p>
          <a:r>
            <a:rPr lang="en-US" sz="900" b="0" baseline="0"/>
            <a:t> </a:t>
          </a:r>
          <a:r>
            <a:rPr lang="en-US" sz="900" b="0"/>
            <a:t>Arnee (2nd highest overall revenue),</a:t>
          </a:r>
          <a:r>
            <a:rPr lang="en-US" sz="900" b="0" baseline="0"/>
            <a:t> </a:t>
          </a:r>
          <a:r>
            <a:rPr lang="en-US" sz="900" b="0"/>
            <a:t>Mariya (also strong)</a:t>
          </a:r>
        </a:p>
        <a:p>
          <a:endParaRPr lang="en-US" sz="900" b="0"/>
        </a:p>
        <a:p>
          <a:r>
            <a:rPr lang="en-US" sz="900"/>
            <a:t>Meanwhile:</a:t>
          </a:r>
        </a:p>
        <a:p>
          <a:r>
            <a:rPr lang="en-US" sz="900"/>
            <a:t>Robert zare sold Dairy product → low performance</a:t>
          </a:r>
        </a:p>
        <a:p>
          <a:r>
            <a:rPr lang="en-US" sz="900"/>
            <a:t>Andrew Cencini sold more of Jams</a:t>
          </a:r>
          <a:r>
            <a:rPr lang="en-US" sz="900" baseline="0"/>
            <a:t> / preserves</a:t>
          </a:r>
          <a:endParaRPr lang="en-US" sz="900"/>
        </a:p>
        <a:p>
          <a:r>
            <a:rPr lang="en-US" sz="900"/>
            <a:t>Laura sold condiments more</a:t>
          </a:r>
        </a:p>
        <a:p>
          <a:r>
            <a:rPr lang="en-US" sz="900"/>
            <a:t>These product categories seem more niche and tied to mid or lower performers.</a:t>
          </a:r>
        </a:p>
        <a:p>
          <a:endParaRPr lang="en-US" sz="900" b="0"/>
        </a:p>
        <a:p>
          <a:r>
            <a:rPr lang="en-US" sz="900" b="0"/>
            <a:t>- </a:t>
          </a:r>
          <a:r>
            <a:rPr lang="en-US" sz="900"/>
            <a:t>Beverages is</a:t>
          </a:r>
          <a:r>
            <a:rPr lang="en-US" sz="900" baseline="0"/>
            <a:t> the</a:t>
          </a:r>
          <a:r>
            <a:rPr lang="en-US" sz="900"/>
            <a:t> strongest revenue-driving category</a:t>
          </a:r>
        </a:p>
        <a:p>
          <a:endParaRPr lang="en-US" sz="900"/>
        </a:p>
        <a:p>
          <a:r>
            <a:rPr lang="en-US" sz="900" b="1"/>
            <a:t>Recommendation: </a:t>
          </a:r>
        </a:p>
        <a:p>
          <a:r>
            <a:rPr lang="en-US" sz="900"/>
            <a:t>Is Beverages:</a:t>
          </a:r>
          <a:r>
            <a:rPr lang="en-US" sz="900" baseline="0"/>
            <a:t> </a:t>
          </a:r>
          <a:r>
            <a:rPr lang="en-US" sz="900"/>
            <a:t>Higher demand?</a:t>
          </a:r>
          <a:r>
            <a:rPr lang="en-US" sz="900" baseline="0"/>
            <a:t> </a:t>
          </a:r>
          <a:r>
            <a:rPr lang="en-US" sz="900"/>
            <a:t>Higher margin?</a:t>
          </a:r>
          <a:r>
            <a:rPr lang="en-US" sz="900" baseline="0"/>
            <a:t> </a:t>
          </a:r>
          <a:r>
            <a:rPr lang="en-US" sz="900"/>
            <a:t>Easier to sell?</a:t>
          </a:r>
          <a:r>
            <a:rPr lang="en-US" sz="900" baseline="0"/>
            <a:t> </a:t>
          </a:r>
          <a:r>
            <a:rPr lang="en-US" sz="900"/>
            <a:t>Better marketed?</a:t>
          </a:r>
          <a:r>
            <a:rPr lang="en-US" sz="900" baseline="0"/>
            <a:t> </a:t>
          </a:r>
          <a:r>
            <a:rPr lang="en-US" sz="900"/>
            <a:t>If yes,</a:t>
          </a:r>
          <a:r>
            <a:rPr lang="en-US" sz="900" baseline="0"/>
            <a:t> then </a:t>
          </a:r>
        </a:p>
        <a:p>
          <a:r>
            <a:rPr lang="en-US" sz="900"/>
            <a:t>- Expanding beverage portfolio</a:t>
          </a:r>
        </a:p>
        <a:p>
          <a:r>
            <a:rPr lang="en-US" sz="900"/>
            <a:t>- Training low performers to cross-sell beverages</a:t>
          </a:r>
        </a:p>
        <a:p>
          <a:endParaRPr lang="en-US" sz="900"/>
        </a:p>
        <a:p>
          <a:endParaRPr lang="en-US" sz="900"/>
        </a:p>
        <a:p>
          <a:endParaRPr lang="en-US" sz="900"/>
        </a:p>
        <a:p>
          <a:endParaRPr lang="en-US" sz="900"/>
        </a:p>
        <a:p>
          <a:endParaRPr lang="en-US" sz="900" b="0"/>
        </a:p>
        <a:p>
          <a:endParaRPr lang="en-US" sz="900" b="0"/>
        </a:p>
        <a:p>
          <a:pPr algn="l"/>
          <a:endParaRPr lang="en-US" sz="900"/>
        </a:p>
      </xdr:txBody>
    </xdr:sp>
    <xdr:clientData/>
  </xdr:twoCellAnchor>
  <xdr:twoCellAnchor>
    <xdr:from>
      <xdr:col>0</xdr:col>
      <xdr:colOff>215900</xdr:colOff>
      <xdr:row>0</xdr:row>
      <xdr:rowOff>152400</xdr:rowOff>
    </xdr:from>
    <xdr:to>
      <xdr:col>12</xdr:col>
      <xdr:colOff>57150</xdr:colOff>
      <xdr:row>48</xdr:row>
      <xdr:rowOff>101600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215900" y="152400"/>
          <a:ext cx="7156450" cy="87884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OBSERVATIONS</a:t>
          </a:r>
        </a:p>
        <a:p>
          <a:pPr algn="l"/>
          <a:endParaRPr lang="en-US" sz="900"/>
        </a:p>
        <a:p>
          <a:pPr algn="ctr"/>
          <a:r>
            <a:rPr lang="en-US" sz="900"/>
            <a:t>North Region Observation</a:t>
          </a:r>
        </a:p>
        <a:p>
          <a:pPr algn="l"/>
          <a:endParaRPr lang="en-US" sz="900"/>
        </a:p>
        <a:p>
          <a:pPr algn="l"/>
          <a:r>
            <a:rPr lang="en-US" sz="900" b="1"/>
            <a:t>Nancy</a:t>
          </a:r>
          <a:r>
            <a:rPr lang="en-US" sz="900" b="1" baseline="0"/>
            <a:t> Freehafer                                                                </a:t>
          </a:r>
          <a:r>
            <a:rPr lang="en-US" sz="900" baseline="0"/>
            <a:t>		</a:t>
          </a:r>
          <a:r>
            <a:rPr lang="en-US" sz="900" b="1" baseline="0"/>
            <a:t>Micheal Neipper	</a:t>
          </a:r>
        </a:p>
        <a:p>
          <a:pPr algn="l"/>
          <a:r>
            <a:rPr lang="en-US" sz="900" baseline="0"/>
            <a:t>- She has the highest sales by revenue.                                		- He sold more of Beverage as a product	</a:t>
          </a:r>
        </a:p>
        <a:p>
          <a:pPr algn="l"/>
          <a:r>
            <a:rPr lang="en-US" sz="900" baseline="0"/>
            <a:t>- She sold more of Beverages as a product		- He is from the North region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aseline="0"/>
            <a:t>- She is from the north region			</a:t>
          </a:r>
          <a:r>
            <a:rPr lang="en-US" sz="9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He made his highest revenue from Milawukee city</a:t>
          </a:r>
          <a:endParaRPr lang="en-US" sz="900">
            <a:effectLst/>
          </a:endParaRPr>
        </a:p>
        <a:p>
          <a:pPr algn="l"/>
          <a:r>
            <a:rPr lang="en-US" sz="900" baseline="0"/>
            <a:t>- She made her highest revenue from portland city		- He made more sales to company F than any other company</a:t>
          </a:r>
        </a:p>
        <a:p>
          <a:pPr algn="l"/>
          <a:r>
            <a:rPr lang="en-US" sz="900" baseline="0"/>
            <a:t>- She made more sales to company H compared to other company	- He made more sales on the month of October and December</a:t>
          </a:r>
        </a:p>
        <a:p>
          <a:pPr algn="l"/>
          <a:r>
            <a:rPr lang="en-US" sz="900" baseline="0"/>
            <a:t>- She made more sales on the month of October and December	- He made lower sales on the month of March, April and November</a:t>
          </a:r>
        </a:p>
        <a:p>
          <a:pPr algn="l"/>
          <a:r>
            <a:rPr lang="en-US" sz="900" baseline="0"/>
            <a:t>- she made lower sales on the month of February, April, November 	- 		</a:t>
          </a:r>
        </a:p>
        <a:p>
          <a:pPr algn="l"/>
          <a:endParaRPr lang="en-US" sz="900" baseline="0"/>
        </a:p>
        <a:p>
          <a:pPr algn="ctr"/>
          <a:r>
            <a:rPr lang="en-US" sz="900" baseline="0"/>
            <a:t>West Region Observation </a:t>
          </a:r>
        </a:p>
        <a:p>
          <a:pPr algn="l"/>
          <a:endParaRPr lang="en-US" sz="900" baseline="0"/>
        </a:p>
        <a:p>
          <a:pPr algn="l"/>
          <a:r>
            <a:rPr lang="en-US" sz="900" b="1" baseline="0"/>
            <a:t>Jan Kotas				Robert Zare</a:t>
          </a:r>
        </a:p>
        <a:p>
          <a:pPr algn="l"/>
          <a:r>
            <a:rPr lang="en-US" sz="900" baseline="0"/>
            <a:t>- He is the least performing sales person by revenue		- He is the 2nd least performing sales person by revenue</a:t>
          </a:r>
        </a:p>
        <a:p>
          <a:pPr algn="l"/>
          <a:r>
            <a:rPr lang="en-US" sz="900" baseline="0"/>
            <a:t>- He sold more of Beverages, fruit and vegetable as product	- He sold more of Diary product</a:t>
          </a:r>
        </a:p>
        <a:p>
          <a:pPr algn="l"/>
          <a:r>
            <a:rPr lang="en-US" sz="900" baseline="0"/>
            <a:t>- He is from the west region			- He is from the West region</a:t>
          </a:r>
        </a:p>
        <a:p>
          <a:pPr algn="l"/>
          <a:r>
            <a:rPr lang="en-US" sz="900" baseline="0"/>
            <a:t>- He made his highest revenue from Denver city		- He  made his highest revenue from salt lake city</a:t>
          </a:r>
        </a:p>
        <a:p>
          <a:pPr algn="l"/>
          <a:r>
            <a:rPr lang="en-US" sz="900" baseline="0"/>
            <a:t>- He made more sales in the month of June and December 		- He made more sales in the month of June and October</a:t>
          </a:r>
        </a:p>
        <a:p>
          <a:pPr algn="l"/>
          <a:r>
            <a:rPr lang="en-US" sz="900" baseline="0"/>
            <a:t>- He made lower sales in the month of April, May		- He made lower sales in the month of February</a:t>
          </a:r>
        </a:p>
        <a:p>
          <a:pPr algn="l"/>
          <a:r>
            <a:rPr lang="en-US" sz="900" baseline="0"/>
            <a:t>- He made more sales to company CC			- He made more sales to company I compared to any other company</a:t>
          </a:r>
        </a:p>
        <a:p>
          <a:pPr algn="l"/>
          <a:endParaRPr lang="en-US" sz="900" baseline="0"/>
        </a:p>
        <a:p>
          <a:pPr algn="l"/>
          <a:r>
            <a:rPr lang="en-US" sz="900" b="1" baseline="0"/>
            <a:t>Mariya </a:t>
          </a:r>
        </a:p>
        <a:p>
          <a:pPr algn="l"/>
          <a:r>
            <a:rPr lang="en-US" sz="900" baseline="0"/>
            <a:t>- She sold more of Sauces and Beverages </a:t>
          </a:r>
        </a:p>
        <a:p>
          <a:pPr algn="l"/>
          <a:r>
            <a:rPr lang="en-US" sz="900" baseline="0"/>
            <a:t>- She is from the west region</a:t>
          </a:r>
        </a:p>
        <a:p>
          <a:pPr algn="l"/>
          <a:r>
            <a:rPr lang="en-US" sz="900" baseline="0"/>
            <a:t>- She made her highest revenue from Las vegas and Los angeles </a:t>
          </a:r>
        </a:p>
        <a:p>
          <a:pPr algn="l"/>
          <a:r>
            <a:rPr lang="en-US" sz="900" baseline="0"/>
            <a:t>- She made more sales in the month of December </a:t>
          </a:r>
        </a:p>
        <a:p>
          <a:pPr algn="l"/>
          <a:r>
            <a:rPr lang="en-US" sz="900" baseline="0"/>
            <a:t>- She made lower sales in the month of June and November </a:t>
          </a:r>
        </a:p>
        <a:p>
          <a:pPr algn="l"/>
          <a:r>
            <a:rPr lang="en-US" sz="900" baseline="0"/>
            <a:t>- She made more sales to company C</a:t>
          </a:r>
        </a:p>
        <a:p>
          <a:pPr algn="l"/>
          <a:endParaRPr lang="en-US" sz="900" baseline="0"/>
        </a:p>
        <a:p>
          <a:pPr algn="l"/>
          <a:endParaRPr lang="en-US" sz="900" baseline="0"/>
        </a:p>
        <a:p>
          <a:pPr algn="ctr"/>
          <a:r>
            <a:rPr lang="en-US" sz="900" baseline="0"/>
            <a:t>East Region Onservation </a:t>
          </a:r>
        </a:p>
        <a:p>
          <a:pPr algn="l"/>
          <a:endParaRPr lang="en-US" sz="900" baseline="0"/>
        </a:p>
        <a:p>
          <a:pPr algn="l"/>
          <a:r>
            <a:rPr lang="en-US" sz="900" b="1" baseline="0"/>
            <a:t>Andrew Cencini 				Laura Guisaani</a:t>
          </a:r>
        </a:p>
        <a:p>
          <a:pPr algn="l"/>
          <a:r>
            <a:rPr lang="en-US" sz="900" baseline="0"/>
            <a:t>- He sold more of Jams preserves as product		- She  sold more of condiments as a product</a:t>
          </a:r>
        </a:p>
        <a:p>
          <a:pPr algn="l"/>
          <a:r>
            <a:rPr lang="en-US" sz="900" baseline="0"/>
            <a:t>- His peak month of sales was in June and December		- She made more sales in the month of June and December </a:t>
          </a:r>
        </a:p>
        <a:p>
          <a:pPr algn="l"/>
          <a:r>
            <a:rPr lang="en-US" sz="900" baseline="0"/>
            <a:t>- He made lower sales in the month of April and May		- She made lower sales in the month of March and July </a:t>
          </a:r>
        </a:p>
        <a:p>
          <a:pPr algn="l"/>
          <a:r>
            <a:rPr lang="en-US" sz="900" baseline="0"/>
            <a:t>- He is from the east region			- He is from the eest region</a:t>
          </a:r>
        </a:p>
        <a:p>
          <a:pPr algn="l"/>
          <a:r>
            <a:rPr lang="en-US" sz="900"/>
            <a:t>- He made his</a:t>
          </a:r>
          <a:r>
            <a:rPr lang="en-US" sz="900" baseline="0"/>
            <a:t> highest revenue f</a:t>
          </a:r>
          <a:r>
            <a:rPr lang="en-US" sz="900"/>
            <a:t>rom Newyork city 		- She</a:t>
          </a:r>
          <a:r>
            <a:rPr lang="en-US" sz="900" baseline="0"/>
            <a:t> made her highest revenue from Chicago city </a:t>
          </a:r>
          <a:endParaRPr lang="en-US" sz="900"/>
        </a:p>
        <a:p>
          <a:pPr algn="l"/>
          <a:r>
            <a:rPr lang="en-US" sz="900"/>
            <a:t>- He made more sales to company D 			- She made more sales to company J</a:t>
          </a:r>
        </a:p>
        <a:p>
          <a:pPr algn="l"/>
          <a:endParaRPr lang="en-US" sz="900"/>
        </a:p>
        <a:p>
          <a:pPr algn="l"/>
          <a:endParaRPr lang="en-US" sz="900"/>
        </a:p>
        <a:p>
          <a:pPr algn="l"/>
          <a:r>
            <a:rPr lang="en-US" sz="900"/>
            <a:t>			South Region</a:t>
          </a:r>
          <a:r>
            <a:rPr lang="en-US" sz="900" baseline="0"/>
            <a:t> Observation</a:t>
          </a:r>
        </a:p>
        <a:p>
          <a:pPr algn="l"/>
          <a:endParaRPr lang="en-US" sz="900"/>
        </a:p>
        <a:p>
          <a:pPr algn="l"/>
          <a:r>
            <a:rPr lang="en-US" sz="900" b="1"/>
            <a:t>Arnee Larsen</a:t>
          </a:r>
        </a:p>
        <a:p>
          <a:pPr algn="l"/>
          <a:r>
            <a:rPr lang="en-US" sz="900"/>
            <a:t>- He is the 2nd highest perfoming sales</a:t>
          </a:r>
          <a:r>
            <a:rPr lang="en-US" sz="900" baseline="0"/>
            <a:t> person by revenue</a:t>
          </a:r>
          <a:endParaRPr lang="en-US" sz="900"/>
        </a:p>
        <a:p>
          <a:pPr algn="l"/>
          <a:r>
            <a:rPr lang="en-US" sz="900"/>
            <a:t>- He sold more of Beverages</a:t>
          </a:r>
          <a:r>
            <a:rPr lang="en-US" sz="900" baseline="0"/>
            <a:t> as product </a:t>
          </a:r>
        </a:p>
        <a:p>
          <a:pPr algn="l"/>
          <a:r>
            <a:rPr lang="en-US" sz="900" baseline="0"/>
            <a:t>- His top sales performing month were June and December </a:t>
          </a:r>
        </a:p>
        <a:p>
          <a:pPr algn="l"/>
          <a:r>
            <a:rPr lang="en-US" sz="900" baseline="0"/>
            <a:t>- He made lower sales in the month of February and April</a:t>
          </a:r>
        </a:p>
        <a:p>
          <a:pPr algn="l"/>
          <a:r>
            <a:rPr lang="en-US" sz="900" baseline="0"/>
            <a:t>- He is from the south region</a:t>
          </a:r>
        </a:p>
        <a:p>
          <a:pPr algn="l"/>
          <a:r>
            <a:rPr lang="en-US" sz="900" baseline="0"/>
            <a:t>- He made his highest revenue from Memphis and Miami city</a:t>
          </a:r>
        </a:p>
        <a:p>
          <a:pPr algn="l"/>
          <a:r>
            <a:rPr lang="en-US" sz="900" baseline="0"/>
            <a:t>- He made more sales to company BB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</xdr:row>
      <xdr:rowOff>142875</xdr:rowOff>
    </xdr:from>
    <xdr:to>
      <xdr:col>10</xdr:col>
      <xdr:colOff>504064</xdr:colOff>
      <xdr:row>17</xdr:row>
      <xdr:rowOff>113923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333375"/>
          <a:ext cx="6085714" cy="301904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" refreshedDate="46049.901580902777" createdVersion="6" refreshedVersion="6" minRefreshableVersion="3" recordCount="369" xr:uid="{00000000-000A-0000-FFFF-FFFF04000000}">
  <cacheSource type="worksheet">
    <worksheetSource ref="A2:Z371" sheet="After"/>
  </cacheSource>
  <cacheFields count="27">
    <cacheField name="Order ID" numFmtId="0">
      <sharedItems containsSemiMixedTypes="0" containsString="0" containsNumber="1" containsInteger="1" minValue="1001" maxValue="1432"/>
    </cacheField>
    <cacheField name="Order Date" numFmtId="0">
      <sharedItems containsSemiMixedTypes="0" containsNonDate="0" containsDate="1" containsString="0" minDate="2014-01-01T00:00:00" maxDate="2014-12-30T00:00:00" count="149">
        <d v="2014-01-27T00:00:00"/>
        <d v="2014-01-04T00:00:00"/>
        <d v="2014-01-12T00:00:00"/>
        <d v="2014-01-08T00:00:00"/>
        <d v="2014-01-29T00:00:00"/>
        <d v="2014-01-03T00:00:00"/>
        <d v="2014-01-06T00:00:00"/>
        <d v="2014-01-28T00:00:00"/>
        <d v="2014-01-10T00:00:00"/>
        <d v="2014-01-07T00:00:00"/>
        <d v="2014-01-11T00:00:00"/>
        <d v="2014-01-01T00:00:00"/>
        <d v="2014-01-09T00:00:00"/>
        <d v="2014-02-08T00:00:00"/>
        <d v="2014-02-03T00:00:00"/>
        <d v="2014-02-06T00:00:00"/>
        <d v="2014-02-28T00:00:00"/>
        <d v="2014-02-10T00:00:00"/>
        <d v="2014-02-11T00:00:00"/>
        <d v="2014-02-01T00:00:00"/>
        <d v="2014-02-09T00:00:00"/>
        <d v="2014-02-25T00:00:00"/>
        <d v="2014-02-26T00:00:00"/>
        <d v="2014-03-01T00:00:00"/>
        <d v="2014-02-04T00:00:00"/>
        <d v="2014-03-09T00:00:00"/>
        <d v="2014-03-06T00:00:00"/>
        <d v="2014-03-08T00:00:00"/>
        <d v="2014-03-25T00:00:00"/>
        <d v="2014-03-26T00:00:00"/>
        <d v="2014-03-29T00:00:00"/>
        <d v="2014-03-04T00:00:00"/>
        <d v="2014-03-03T00:00:00"/>
        <d v="2014-03-10T00:00:00"/>
        <d v="2014-03-11T00:00:00"/>
        <d v="2014-03-28T00:00:00"/>
        <d v="2014-04-04T00:00:00"/>
        <d v="2014-04-12T00:00:00"/>
        <d v="2014-04-08T00:00:00"/>
        <d v="2014-04-29T00:00:00"/>
        <d v="2014-04-03T00:00:00"/>
        <d v="2014-04-06T00:00:00"/>
        <d v="2014-04-28T00:00:00"/>
        <d v="2014-04-10T00:00:00"/>
        <d v="2014-04-07T00:00:00"/>
        <d v="2014-04-11T00:00:00"/>
        <d v="2014-04-01T00:00:00"/>
        <d v="2014-05-29T00:00:00"/>
        <d v="2014-05-03T00:00:00"/>
        <d v="2014-05-06T00:00:00"/>
        <d v="2014-05-28T00:00:00"/>
        <d v="2014-05-08T00:00:00"/>
        <d v="2014-05-10T00:00:00"/>
        <d v="2014-05-07T00:00:00"/>
        <d v="2014-05-11T00:00:00"/>
        <d v="2014-05-01T00:00:00"/>
        <d v="2014-05-09T00:00:00"/>
        <d v="2014-05-25T00:00:00"/>
        <d v="2014-05-26T00:00:00"/>
        <d v="2014-05-04T00:00:00"/>
        <d v="2014-06-07T00:00:00"/>
        <d v="2014-06-10T00:00:00"/>
        <d v="2014-06-11T00:00:00"/>
        <d v="2014-06-01T00:00:00"/>
        <d v="2014-06-28T00:00:00"/>
        <d v="2014-06-09T00:00:00"/>
        <d v="2014-06-06T00:00:00"/>
        <d v="2014-06-08T00:00:00"/>
        <d v="2014-06-25T00:00:00"/>
        <d v="2014-06-26T00:00:00"/>
        <d v="2014-06-29T00:00:00"/>
        <d v="2014-06-04T00:00:00"/>
        <d v="2014-06-03T00:00:00"/>
        <d v="2014-07-01T00:00:00"/>
        <d v="2014-07-28T00:00:00"/>
        <d v="2014-07-09T00:00:00"/>
        <d v="2014-07-06T00:00:00"/>
        <d v="2014-07-08T00:00:00"/>
        <d v="2014-07-25T00:00:00"/>
        <d v="2014-07-26T00:00:00"/>
        <d v="2014-07-29T00:00:00"/>
        <d v="2014-07-04T00:00:00"/>
        <d v="2014-07-03T00:00:00"/>
        <d v="2014-07-10T00:00:00"/>
        <d v="2014-07-11T00:00:00"/>
        <d v="2014-08-28T00:00:00"/>
        <d v="2014-08-08T00:00:00"/>
        <d v="2014-08-10T00:00:00"/>
        <d v="2014-08-07T00:00:00"/>
        <d v="2014-08-11T00:00:00"/>
        <d v="2014-08-01T00:00:00"/>
        <d v="2014-08-09T00:00:00"/>
        <d v="2014-08-06T00:00:00"/>
        <d v="2014-08-25T00:00:00"/>
        <d v="2014-08-26T00:00:00"/>
        <d v="2014-08-29T00:00:00"/>
        <d v="2014-08-04T00:00:00"/>
        <d v="2014-09-10T00:00:00"/>
        <d v="2014-09-11T00:00:00"/>
        <d v="2014-09-01T00:00:00"/>
        <d v="2014-09-28T00:00:00"/>
        <d v="2014-09-09T00:00:00"/>
        <d v="2014-09-06T00:00:00"/>
        <d v="2014-09-08T00:00:00"/>
        <d v="2014-09-25T00:00:00"/>
        <d v="2014-09-26T00:00:00"/>
        <d v="2014-09-29T00:00:00"/>
        <d v="2014-09-04T00:00:00"/>
        <d v="2014-09-03T00:00:00"/>
        <d v="2014-10-06T00:00:00"/>
        <d v="2014-10-28T00:00:00"/>
        <d v="2014-10-08T00:00:00"/>
        <d v="2014-10-10T00:00:00"/>
        <d v="2014-10-07T00:00:00"/>
        <d v="2014-10-11T00:00:00"/>
        <d v="2014-10-01T00:00:00"/>
        <d v="2014-10-09T00:00:00"/>
        <d v="2014-10-25T00:00:00"/>
        <d v="2014-10-26T00:00:00"/>
        <d v="2014-10-29T00:00:00"/>
        <d v="2014-10-04T00:00:00"/>
        <d v="2014-10-03T00:00:00"/>
        <d v="2014-11-10T00:00:00"/>
        <d v="2014-11-11T00:00:00"/>
        <d v="2014-11-01T00:00:00"/>
        <d v="2014-11-28T00:00:00"/>
        <d v="2014-11-09T00:00:00"/>
        <d v="2014-11-06T00:00:00"/>
        <d v="2014-11-08T00:00:00"/>
        <d v="2014-11-25T00:00:00"/>
        <d v="2014-11-26T00:00:00"/>
        <d v="2014-11-29T00:00:00"/>
        <d v="2014-11-04T00:00:00"/>
        <d v="2014-11-03T00:00:00"/>
        <d v="2014-12-27T00:00:00"/>
        <d v="2014-12-04T00:00:00"/>
        <d v="2014-12-12T00:00:00"/>
        <d v="2014-12-08T00:00:00"/>
        <d v="2014-12-29T00:00:00"/>
        <d v="2014-12-03T00:00:00"/>
        <d v="2014-12-06T00:00:00"/>
        <d v="2014-12-28T00:00:00"/>
        <d v="2014-12-10T00:00:00"/>
        <d v="2014-12-07T00:00:00"/>
        <d v="2014-12-11T00:00:00"/>
        <d v="2014-12-01T00:00:00"/>
        <d v="2014-12-09T00:00:00"/>
        <d v="2014-12-25T00:00:00"/>
        <d v="2014-12-26T00:00:00"/>
      </sharedItems>
      <fieldGroup par="26"/>
    </cacheField>
    <cacheField name="Customer ID" numFmtId="0">
      <sharedItems containsSemiMixedTypes="0" containsString="0" containsNumber="1" containsInteger="1" minValue="1" maxValue="29"/>
    </cacheField>
    <cacheField name="Customer Name" numFmtId="0">
      <sharedItems count="15">
        <s v="Company AA"/>
        <s v="Company D"/>
        <s v="Company L"/>
        <s v="Company H"/>
        <s v="Company CC"/>
        <s v="Company C"/>
        <s v="Company F"/>
        <s v="Company BB"/>
        <s v="Company J"/>
        <s v="Company G"/>
        <s v="Company K"/>
        <s v="Company A"/>
        <s v="Company I"/>
        <s v="Company Y"/>
        <s v="Company Z"/>
      </sharedItems>
    </cacheField>
    <cacheField name="Address" numFmtId="0">
      <sharedItems/>
    </cacheField>
    <cacheField name="City" numFmtId="0">
      <sharedItems count="12">
        <s v="Las Vegas"/>
        <s v="New York"/>
        <s v="Portland"/>
        <s v="Denver"/>
        <s v="Los Angelas"/>
        <s v="Milwaukee"/>
        <s v="Memphis"/>
        <s v="Chicago"/>
        <s v="Boise"/>
        <s v="Miami"/>
        <s v="Seattle"/>
        <s v="Salt Lake City"/>
      </sharedItems>
    </cacheField>
    <cacheField name="State" numFmtId="0">
      <sharedItems count="12">
        <s v="NV"/>
        <s v="NY"/>
        <s v="OR"/>
        <s v="CO"/>
        <s v="CA"/>
        <s v="WI"/>
        <s v="TN"/>
        <s v="IL"/>
        <s v="ID"/>
        <s v="FL"/>
        <s v="WA"/>
        <s v="UT"/>
      </sharedItems>
    </cacheField>
    <cacheField name="ZIP/Postal Code" numFmtId="0">
      <sharedItems containsSemiMixedTypes="0" containsString="0" containsNumber="1" containsInteger="1" minValue="99999" maxValue="99999"/>
    </cacheField>
    <cacheField name="Country/Region" numFmtId="0">
      <sharedItems/>
    </cacheField>
    <cacheField name="Salesperson" numFmtId="0">
      <sharedItems count="8">
        <s v="Mariya Sergienko"/>
        <s v="Andrew Cencini"/>
        <s v="Nancy Freehafer"/>
        <s v="Jan Kotas"/>
        <s v="Michael Neipper"/>
        <s v="Anne Larsen"/>
        <s v="Laura Giussani"/>
        <s v="Robert Zare"/>
      </sharedItems>
    </cacheField>
    <cacheField name="Region" numFmtId="0">
      <sharedItems count="4">
        <s v="West"/>
        <s v="East"/>
        <s v="North"/>
        <s v="South"/>
      </sharedItems>
    </cacheField>
    <cacheField name="Shipped Date" numFmtId="0">
      <sharedItems containsDate="1" containsString="0" containsBlank="1" containsMixedTypes="1" minDate="2014-01-05T00:00:00" maxDate="2014-12-09T00:00:00"/>
    </cacheField>
    <cacheField name="Shipper Name" numFmtId="0">
      <sharedItems containsBlank="1"/>
    </cacheField>
    <cacheField name="Ship Name" numFmtId="0">
      <sharedItems/>
    </cacheField>
    <cacheField name="Ship Address" numFmtId="0">
      <sharedItems/>
    </cacheField>
    <cacheField name="Ship City" numFmtId="0">
      <sharedItems/>
    </cacheField>
    <cacheField name="Ship State" numFmtId="0">
      <sharedItems/>
    </cacheField>
    <cacheField name="Ship ZIP/Postal Code" numFmtId="0">
      <sharedItems containsSemiMixedTypes="0" containsString="0" containsNumber="1" containsInteger="1" minValue="99999" maxValue="99999"/>
    </cacheField>
    <cacheField name="Ship Country/Region" numFmtId="0">
      <sharedItems/>
    </cacheField>
    <cacheField name="Payment Type" numFmtId="0">
      <sharedItems containsBlank="1" count="4">
        <s v="Check"/>
        <s v="Credit Card"/>
        <s v="Cash"/>
        <m/>
      </sharedItems>
    </cacheField>
    <cacheField name="Product Name" numFmtId="0">
      <sharedItems containsBlank="1" count="25">
        <s v="Beer"/>
        <s v="Dried Plums"/>
        <s v="Dried Pears"/>
        <s v="Dried Apples"/>
        <s v="Chai"/>
        <s v="Coffee"/>
        <s v="Chocolate Biscuits Mix"/>
        <s v="Chocolate"/>
        <s v="Clam Chowder"/>
        <s v="Curry Sauce"/>
        <s v="Green Tea"/>
        <s v="Boysenberry Spread"/>
        <s v="Cajun Seasoning"/>
        <s v="Crab Meat"/>
        <s v="Ravioli"/>
        <s v="Mozzarella"/>
        <s v="Syrup"/>
        <m/>
        <s v="Almonds"/>
        <s v="Fruit Cocktail"/>
        <s v="Gnocchi"/>
        <s v="Scones"/>
        <s v="Olive Oil"/>
        <s v="Marmalade"/>
        <s v="Long Grain Rice"/>
      </sharedItems>
    </cacheField>
    <cacheField name="Category" numFmtId="0">
      <sharedItems containsBlank="1" count="16">
        <s v="Beverages"/>
        <s v="Dried Fruit &amp; Nuts"/>
        <s v="Baked Goods &amp; Mixes"/>
        <s v="Candy"/>
        <s v="Soups"/>
        <s v="Sauces"/>
        <s v="Jams, Preserves"/>
        <s v="Condiments"/>
        <s v="Canned Meat"/>
        <s v="Pasta"/>
        <s v="Dairy Products"/>
        <s v="Shipping Fee "/>
        <s v="Fruit &amp; Veg"/>
        <s v="Oil"/>
        <s v="Grains"/>
        <m u="1"/>
      </sharedItems>
    </cacheField>
    <cacheField name="Unit Price" numFmtId="0">
      <sharedItems containsString="0" containsBlank="1" containsNumber="1" minValue="2.99" maxValue="81"/>
    </cacheField>
    <cacheField name="Quantity" numFmtId="0">
      <sharedItems containsString="0" containsBlank="1" containsNumber="1" containsInteger="1" minValue="10" maxValue="100"/>
    </cacheField>
    <cacheField name="Revenue" numFmtId="0">
      <sharedItems containsSemiMixedTypes="0" containsString="0" containsNumber="1" minValue="10" maxValue="7938" count="315">
        <n v="686"/>
        <n v="164.5"/>
        <n v="2070"/>
        <n v="4717"/>
        <n v="38.5"/>
        <n v="1458"/>
        <n v="2024"/>
        <n v="349.59999999999997"/>
        <n v="809.59999999999991"/>
        <n v="1198.5"/>
        <n v="878.15"/>
        <n v="1280"/>
        <n v="2530"/>
        <n v="599.25"/>
        <n v="269.10000000000002"/>
        <n v="1104"/>
        <n v="850"/>
        <n v="374"/>
        <n v="404.79999999999995"/>
        <n v="283.5"/>
        <n v="146.51000000000002"/>
        <n v="756"/>
        <n v="2668"/>
        <n v="200.33"/>
        <n v="965"/>
        <n v="1159.1999999999998"/>
        <n v="1111.5"/>
        <n v="2818.7999999999997"/>
        <n v="994"/>
        <n v="630"/>
        <n v="1200"/>
        <n v="10"/>
        <n v="470"/>
        <n v="171.5"/>
        <n v="2880"/>
        <n v="239.2"/>
        <n v="1472"/>
        <n v="260.55"/>
        <n v="905.25"/>
        <n v="165.75"/>
        <n v="2156"/>
        <n v="525"/>
        <n v="1014"/>
        <n v="848"/>
        <n v="3648"/>
        <n v="224.25000000000003"/>
        <n v="1072.5"/>
        <n v="382.79999999999995"/>
        <n v="742"/>
        <n v="3400"/>
        <n v="892.4"/>
        <n v="460"/>
        <n v="2070.9500000000003"/>
        <n v="936.05000000000007"/>
        <n v="1196"/>
        <n v="1008"/>
        <n v="204"/>
        <n v="6237"/>
        <n v="259"/>
        <n v="2192.3999999999996"/>
        <n v="480"/>
        <n v="2840"/>
        <n v="550"/>
        <n v="73.5"/>
        <n v="2680"/>
        <n v="1380"/>
        <n v="782"/>
        <n v="168"/>
        <n v="1332"/>
        <n v="4416"/>
        <n v="110.39999999999999"/>
        <n v="570.4"/>
        <n v="446.25"/>
        <n v="916.75"/>
        <n v="680"/>
        <n v="1058.25"/>
        <n v="263.12"/>
        <n v="2714"/>
        <n v="675"/>
        <n v="814"/>
        <n v="690"/>
        <n v="248.5"/>
        <n v="990"/>
        <n v="178.5"/>
        <n v="414.95"/>
        <n v="2520"/>
        <n v="1656"/>
        <n v="522.75"/>
        <n v="104.65"/>
        <n v="1426"/>
        <n v="1300"/>
        <n v="660"/>
        <n v="377.2"/>
        <n v="154"/>
        <n v="230.23000000000002"/>
        <n v="522"/>
        <n v="3542"/>
        <n v="218.27"/>
        <n v="714.1"/>
        <n v="459.99999999999994"/>
        <n v="1599"/>
        <n v="1287.5999999999999"/>
        <n v="1176"/>
        <n v="2920"/>
        <n v="469.2"/>
        <n v="768.6"/>
        <n v="839.55000000000007"/>
        <n v="1177.5999999999999"/>
        <n v="294"/>
        <n v="242.25"/>
        <n v="1863"/>
        <n v="504"/>
        <n v="765.59999999999991"/>
        <n v="820"/>
        <n v="3920"/>
        <n v="3266"/>
        <n v="1000"/>
        <n v="1760"/>
        <n v="98"/>
        <n v="179.4"/>
        <n v="594"/>
        <n v="1012"/>
        <n v="152.49"/>
        <n v="579"/>
        <n v="1803.1999999999998"/>
        <n v="526.5"/>
        <n v="3062.3999999999996"/>
        <n v="910"/>
        <n v="1520"/>
        <n v="736"/>
        <n v="490"/>
        <n v="1921.5000000000002"/>
        <n v="717.59999999999991"/>
        <n v="1106"/>
        <n v="561"/>
        <n v="7938"/>
        <n v="427"/>
        <n v="1044"/>
        <n v="240"/>
        <n v="1120"/>
        <n v="740"/>
        <n v="315"/>
        <n v="1080"/>
        <n v="1306.3999999999999"/>
        <n v="3404"/>
        <n v="733.4"/>
        <n v="1224"/>
        <n v="1173"/>
        <n v="2046"/>
        <n v="450"/>
        <n v="3822"/>
        <n v="3230"/>
        <n v="242.19000000000003"/>
        <n v="318.45"/>
        <n v="864.8"/>
        <n v="1189.5"/>
        <n v="939.59999999999991"/>
        <n v="3640"/>
        <n v="331.2"/>
        <n v="340"/>
        <n v="1729.3500000000001"/>
        <n v="241.25"/>
        <n v="220.79999999999998"/>
        <n v="322"/>
        <n v="969"/>
        <n v="4455"/>
        <n v="133"/>
        <n v="400"/>
        <n v="800"/>
        <n v="94.5"/>
        <n v="3880"/>
        <n v="772.8"/>
        <n v="868.5"/>
        <n v="357"/>
        <n v="1288"/>
        <n v="726.75"/>
        <n v="68.77000000000001"/>
        <n v="3956"/>
        <n v="1175"/>
        <n v="2134"/>
        <n v="883.19999999999993"/>
        <n v="108.5"/>
        <n v="155.48000000000002"/>
        <n v="1638"/>
        <n v="644"/>
        <n v="131.56"/>
        <n v="1287"/>
        <n v="1113.5999999999999"/>
        <n v="728"/>
        <n v="3120"/>
        <n v="496.79999999999995"/>
        <n v="1281"/>
        <n v="183.35"/>
        <n v="1214.3999999999999"/>
        <n v="588"/>
        <n v="918"/>
        <n v="2592"/>
        <n v="532"/>
        <n v="763.59999999999991"/>
        <n v="318.5"/>
        <n v="191.36"/>
        <n v="4462"/>
        <n v="41.86"/>
        <n v="656.2"/>
        <n v="588.79999999999995"/>
        <n v="936"/>
        <n v="1983.6"/>
        <n v="938"/>
        <n v="1920"/>
        <n v="708.4"/>
        <n v="940"/>
        <n v="1152.9000000000001"/>
        <n v="700"/>
        <n v="4374"/>
        <n v="273"/>
        <n v="710"/>
        <n v="3520"/>
        <n v="590"/>
        <n v="3760"/>
        <n v="777.75"/>
        <n v="95.68"/>
        <n v="2852"/>
        <n v="1500"/>
        <n v="1122"/>
        <n v="450.79999999999995"/>
        <n v="70"/>
        <n v="396"/>
        <n v="3358"/>
        <n v="254.15"/>
        <n v="424.6"/>
        <n v="441.59999999999997"/>
        <n v="1248"/>
        <n v="2436"/>
        <n v="1372"/>
        <n v="919.99999999999989"/>
        <n v="900"/>
        <n v="1046.1500000000001"/>
        <n v="685.15"/>
        <n v="184"/>
        <n v="1092"/>
        <n v="6642"/>
        <n v="203"/>
        <n v="3236.3999999999996"/>
        <n v="110"/>
        <n v="120"/>
        <n v="2400"/>
        <n v="423.2"/>
        <n v="1564"/>
        <n v="858.85"/>
        <n v="1045.5"/>
        <n v="548.25"/>
        <n v="2112"/>
        <n v="312.79999999999995"/>
        <n v="147"/>
        <n v="299"/>
        <n v="65.78"/>
        <n v="443.90000000000003"/>
        <n v="1839.9999999999998"/>
        <n v="1696.5"/>
        <n v="2018.3999999999999"/>
        <n v="1190"/>
        <n v="174.79999999999998"/>
        <n v="1473.15"/>
        <n v="357.05"/>
        <n v="191.25"/>
        <n v="4212"/>
        <n v="835.19999999999993"/>
        <n v="360"/>
        <n v="960"/>
        <n v="200"/>
        <n v="1398.3999999999999"/>
        <n v="2622"/>
        <n v="135.1"/>
        <n v="196"/>
        <n v="245"/>
        <n v="3000"/>
        <n v="1431"/>
        <n v="1026"/>
        <n v="3818"/>
        <n v="699.19999999999993"/>
        <n v="926.40000000000009"/>
        <n v="122.59"/>
        <n v="1886"/>
        <n v="2350"/>
        <n v="440"/>
        <n v="119.6"/>
        <n v="158.47"/>
        <n v="1782"/>
        <n v="4094"/>
        <n v="945.7"/>
        <n v="1582.3999999999999"/>
        <n v="390"/>
        <n v="2401.1999999999998"/>
        <n v="952"/>
        <n v="2080"/>
        <n v="368"/>
        <n v="1878.8000000000002"/>
        <n v="1711.1999999999998"/>
        <n v="1344"/>
        <n v="153"/>
        <n v="3078"/>
        <n v="3479.9999999999995"/>
        <n v="890"/>
        <n v="970"/>
        <n v="185.5"/>
        <n v="2440"/>
        <n v="827.99999999999989"/>
        <n v="1978"/>
        <n v="173.70000000000002"/>
        <n v="1430"/>
        <n v="325"/>
        <n v="2106"/>
        <n v="1802"/>
        <n v="2242"/>
        <n v="71.760000000000005"/>
      </sharedItems>
      <fieldGroup base="24">
        <rangePr autoStart="0" startNum="0" endNum="7938" groupInterval="1000"/>
        <groupItems count="10">
          <s v="&lt;0"/>
          <s v="0-1000"/>
          <s v="1000-2000"/>
          <s v="2000-3000"/>
          <s v="3000-4000"/>
          <s v="4000-5000"/>
          <s v="5000-6000"/>
          <s v="6000-7000"/>
          <s v="7000-8000"/>
          <s v="&gt;8000"/>
        </groupItems>
      </fieldGroup>
    </cacheField>
    <cacheField name="Shipping Fee" numFmtId="0">
      <sharedItems containsSemiMixedTypes="0" containsString="0" containsNumber="1" minValue="3.7345000000000002" maxValue="769.98599999999999"/>
    </cacheField>
    <cacheField name="Months (Order Date)" numFmtId="0" databaseField="0">
      <fieldGroup base="1">
        <rangePr groupBy="months" startDate="2014-01-01T00:00:00" endDate="2014-12-30T00:00:00"/>
        <groupItems count="14">
          <s v="&lt;01/0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1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n v="1001"/>
    <x v="0"/>
    <n v="27"/>
    <x v="0"/>
    <s v="789 27th Street"/>
    <x v="0"/>
    <x v="0"/>
    <n v="99999"/>
    <s v="USA"/>
    <x v="0"/>
    <x v="0"/>
    <d v="2014-01-29T00:00:00"/>
    <s v="Shipping Company B"/>
    <s v="Karen Toh"/>
    <s v="789 27th Street"/>
    <s v="Las Vegas"/>
    <s v="NV"/>
    <n v="99999"/>
    <s v="USA"/>
    <x v="0"/>
    <x v="0"/>
    <x v="0"/>
    <n v="14"/>
    <n v="49"/>
    <x v="0"/>
    <n v="66.542000000000002"/>
  </r>
  <r>
    <n v="1002"/>
    <x v="0"/>
    <n v="27"/>
    <x v="0"/>
    <s v="789 27th Street"/>
    <x v="0"/>
    <x v="0"/>
    <n v="99999"/>
    <s v="USA"/>
    <x v="0"/>
    <x v="0"/>
    <d v="2014-01-29T00:00:00"/>
    <s v="Shipping Company B"/>
    <s v="Karen Toh"/>
    <s v="789 27th Street"/>
    <s v="Las Vegas"/>
    <s v="NV"/>
    <n v="99999"/>
    <s v="USA"/>
    <x v="0"/>
    <x v="1"/>
    <x v="1"/>
    <n v="3.5"/>
    <n v="47"/>
    <x v="1"/>
    <n v="16.6145"/>
  </r>
  <r>
    <n v="1003"/>
    <x v="1"/>
    <n v="4"/>
    <x v="1"/>
    <s v="123 4th Street"/>
    <x v="1"/>
    <x v="1"/>
    <n v="99999"/>
    <s v="USA"/>
    <x v="1"/>
    <x v="1"/>
    <d v="2014-01-06T00:00:00"/>
    <s v="Shipping Company A"/>
    <s v="Christina Lee"/>
    <s v="123 4th Street"/>
    <s v="New York"/>
    <s v="NY"/>
    <n v="99999"/>
    <s v="USA"/>
    <x v="1"/>
    <x v="2"/>
    <x v="1"/>
    <n v="30"/>
    <n v="69"/>
    <x v="2"/>
    <n v="198.72"/>
  </r>
  <r>
    <n v="1004"/>
    <x v="1"/>
    <n v="4"/>
    <x v="1"/>
    <s v="123 4th Street"/>
    <x v="1"/>
    <x v="1"/>
    <n v="99999"/>
    <s v="USA"/>
    <x v="1"/>
    <x v="1"/>
    <d v="2014-01-06T00:00:00"/>
    <s v="Shipping Company A"/>
    <s v="Christina Lee"/>
    <s v="123 4th Street"/>
    <s v="New York"/>
    <s v="NY"/>
    <n v="99999"/>
    <s v="USA"/>
    <x v="1"/>
    <x v="3"/>
    <x v="1"/>
    <n v="53"/>
    <n v="89"/>
    <x v="3"/>
    <n v="448.11500000000001"/>
  </r>
  <r>
    <n v="1005"/>
    <x v="1"/>
    <n v="4"/>
    <x v="1"/>
    <s v="123 4th Street"/>
    <x v="1"/>
    <x v="1"/>
    <n v="99999"/>
    <s v="USA"/>
    <x v="1"/>
    <x v="1"/>
    <d v="2014-01-06T00:00:00"/>
    <s v="Shipping Company A"/>
    <s v="Christina Lee"/>
    <s v="123 4th Street"/>
    <s v="New York"/>
    <s v="NY"/>
    <n v="99999"/>
    <s v="USA"/>
    <x v="1"/>
    <x v="1"/>
    <x v="1"/>
    <n v="3.5"/>
    <n v="11"/>
    <x v="4"/>
    <n v="3.7345000000000002"/>
  </r>
  <r>
    <n v="1006"/>
    <x v="2"/>
    <n v="12"/>
    <x v="2"/>
    <s v="123 12th Street"/>
    <x v="0"/>
    <x v="0"/>
    <n v="99999"/>
    <s v="USA"/>
    <x v="0"/>
    <x v="0"/>
    <d v="2014-01-14T00:00:00"/>
    <s v="Shipping Company B"/>
    <s v="John Edwards"/>
    <s v="123 12th Street"/>
    <s v="Las Vegas"/>
    <s v="NV"/>
    <n v="99999"/>
    <s v="USA"/>
    <x v="1"/>
    <x v="4"/>
    <x v="0"/>
    <n v="18"/>
    <n v="81"/>
    <x v="5"/>
    <n v="141.42600000000002"/>
  </r>
  <r>
    <n v="1007"/>
    <x v="2"/>
    <n v="12"/>
    <x v="2"/>
    <s v="123 12th Street"/>
    <x v="0"/>
    <x v="0"/>
    <n v="99999"/>
    <s v="USA"/>
    <x v="0"/>
    <x v="0"/>
    <d v="2014-01-14T00:00:00"/>
    <s v="Shipping Company B"/>
    <s v="John Edwards"/>
    <s v="123 12th Street"/>
    <s v="Las Vegas"/>
    <s v="NV"/>
    <n v="99999"/>
    <s v="USA"/>
    <x v="1"/>
    <x v="5"/>
    <x v="0"/>
    <n v="46"/>
    <n v="44"/>
    <x v="6"/>
    <n v="198.352"/>
  </r>
  <r>
    <n v="1008"/>
    <x v="3"/>
    <n v="8"/>
    <x v="3"/>
    <s v="123 8th Street"/>
    <x v="2"/>
    <x v="2"/>
    <n v="99999"/>
    <s v="USA"/>
    <x v="2"/>
    <x v="2"/>
    <d v="2014-01-10T00:00:00"/>
    <s v="Shipping Company C"/>
    <s v="Elizabeth Andersen"/>
    <s v="123 8th Street"/>
    <s v="Portland"/>
    <s v="OR"/>
    <n v="99999"/>
    <s v="USA"/>
    <x v="1"/>
    <x v="6"/>
    <x v="2"/>
    <n v="9.1999999999999993"/>
    <n v="38"/>
    <x v="7"/>
    <n v="36.008800000000001"/>
  </r>
  <r>
    <n v="1009"/>
    <x v="1"/>
    <n v="4"/>
    <x v="1"/>
    <s v="123 4th Street"/>
    <x v="1"/>
    <x v="1"/>
    <n v="99999"/>
    <s v="USA"/>
    <x v="1"/>
    <x v="1"/>
    <d v="2014-01-06T00:00:00"/>
    <s v="Shipping Company C"/>
    <s v="Christina Lee"/>
    <s v="123 4th Street"/>
    <s v="New York"/>
    <s v="NY"/>
    <n v="99999"/>
    <s v="USA"/>
    <x v="0"/>
    <x v="6"/>
    <x v="2"/>
    <n v="9.1999999999999993"/>
    <n v="88"/>
    <x v="8"/>
    <n v="79.340799999999987"/>
  </r>
  <r>
    <n v="1010"/>
    <x v="4"/>
    <n v="29"/>
    <x v="4"/>
    <s v="789 29th Street"/>
    <x v="3"/>
    <x v="3"/>
    <n v="99999"/>
    <s v="USA"/>
    <x v="3"/>
    <x v="0"/>
    <d v="2014-01-31T00:00:00"/>
    <s v="Shipping Company B"/>
    <s v="Soo Jung Lee"/>
    <s v="789 29th Street"/>
    <s v="Denver"/>
    <s v="CO"/>
    <n v="99999"/>
    <s v="USA"/>
    <x v="0"/>
    <x v="7"/>
    <x v="3"/>
    <n v="12.75"/>
    <n v="94"/>
    <x v="9"/>
    <n v="122.24700000000001"/>
  </r>
  <r>
    <n v="1011"/>
    <x v="5"/>
    <n v="3"/>
    <x v="5"/>
    <s v="123 3rd Street"/>
    <x v="4"/>
    <x v="4"/>
    <n v="99999"/>
    <s v="USA"/>
    <x v="0"/>
    <x v="0"/>
    <d v="2014-01-05T00:00:00"/>
    <s v="Shipping Company B"/>
    <s v="Thomas Axerr"/>
    <s v="123 3rd Street"/>
    <s v="Los Angelas"/>
    <s v="CA"/>
    <n v="99999"/>
    <s v="USA"/>
    <x v="2"/>
    <x v="8"/>
    <x v="4"/>
    <n v="9.65"/>
    <n v="91"/>
    <x v="10"/>
    <n v="92.205749999999995"/>
  </r>
  <r>
    <n v="1012"/>
    <x v="6"/>
    <n v="6"/>
    <x v="6"/>
    <s v="123 6th Street"/>
    <x v="5"/>
    <x v="5"/>
    <n v="99999"/>
    <s v="USA"/>
    <x v="4"/>
    <x v="2"/>
    <d v="2014-01-08T00:00:00"/>
    <s v="Shipping Company B"/>
    <s v="Francisco Pérez-Olaeta"/>
    <s v="123 6th Street"/>
    <s v="Milwaukee"/>
    <s v="WI"/>
    <n v="99999"/>
    <s v="USA"/>
    <x v="1"/>
    <x v="9"/>
    <x v="5"/>
    <n v="40"/>
    <n v="32"/>
    <x v="11"/>
    <n v="133.12"/>
  </r>
  <r>
    <n v="1013"/>
    <x v="7"/>
    <n v="28"/>
    <x v="7"/>
    <s v="789 28th Street"/>
    <x v="6"/>
    <x v="6"/>
    <n v="99999"/>
    <s v="USA"/>
    <x v="5"/>
    <x v="3"/>
    <d v="2014-01-30T00:00:00"/>
    <s v="Shipping Company C"/>
    <s v="Amritansh Raghav"/>
    <s v="789 28th Street"/>
    <s v="Memphis"/>
    <s v="TN"/>
    <n v="99999"/>
    <s v="USA"/>
    <x v="0"/>
    <x v="5"/>
    <x v="0"/>
    <n v="46"/>
    <n v="55"/>
    <x v="12"/>
    <n v="253"/>
  </r>
  <r>
    <n v="1014"/>
    <x v="3"/>
    <n v="8"/>
    <x v="3"/>
    <s v="123 8th Street"/>
    <x v="2"/>
    <x v="2"/>
    <n v="99999"/>
    <s v="USA"/>
    <x v="2"/>
    <x v="2"/>
    <d v="2014-01-10T00:00:00"/>
    <s v="Shipping Company C"/>
    <s v="Elizabeth Andersen"/>
    <s v="123 8th Street"/>
    <s v="Portland"/>
    <s v="OR"/>
    <n v="99999"/>
    <s v="USA"/>
    <x v="0"/>
    <x v="7"/>
    <x v="3"/>
    <n v="12.75"/>
    <n v="47"/>
    <x v="13"/>
    <n v="61.722750000000005"/>
  </r>
  <r>
    <n v="1015"/>
    <x v="8"/>
    <n v="10"/>
    <x v="8"/>
    <s v="123 10th Street"/>
    <x v="7"/>
    <x v="7"/>
    <n v="99999"/>
    <s v="USA"/>
    <x v="6"/>
    <x v="1"/>
    <d v="2014-01-12T00:00:00"/>
    <s v="Shipping Company B"/>
    <s v="Roland Wacker"/>
    <s v="123 10th Street"/>
    <s v="Chicago"/>
    <s v="IL"/>
    <n v="99999"/>
    <s v="USA"/>
    <x v="1"/>
    <x v="10"/>
    <x v="0"/>
    <n v="2.99"/>
    <n v="90"/>
    <x v="14"/>
    <n v="27.717300000000005"/>
  </r>
  <r>
    <n v="1016"/>
    <x v="9"/>
    <n v="7"/>
    <x v="9"/>
    <s v="123 7th Street"/>
    <x v="8"/>
    <x v="8"/>
    <n v="99999"/>
    <s v="USA"/>
    <x v="2"/>
    <x v="2"/>
    <m/>
    <m/>
    <s v="Ming-Yang Xie"/>
    <s v="123 7th Street"/>
    <s v="Boise"/>
    <s v="ID"/>
    <n v="99999"/>
    <s v="USA"/>
    <x v="3"/>
    <x v="5"/>
    <x v="0"/>
    <n v="46"/>
    <n v="24"/>
    <x v="15"/>
    <n v="110.4"/>
  </r>
  <r>
    <n v="1017"/>
    <x v="8"/>
    <n v="10"/>
    <x v="8"/>
    <s v="123 10th Street"/>
    <x v="7"/>
    <x v="7"/>
    <n v="99999"/>
    <s v="USA"/>
    <x v="6"/>
    <x v="1"/>
    <d v="2014-01-12T00:00:00"/>
    <s v="Shipping Company A"/>
    <s v="Roland Wacker"/>
    <s v="123 10th Street"/>
    <s v="Chicago"/>
    <s v="IL"/>
    <n v="99999"/>
    <s v="USA"/>
    <x v="3"/>
    <x v="11"/>
    <x v="6"/>
    <n v="25"/>
    <n v="34"/>
    <x v="16"/>
    <n v="80.75"/>
  </r>
  <r>
    <n v="1018"/>
    <x v="8"/>
    <n v="10"/>
    <x v="8"/>
    <s v="123 10th Street"/>
    <x v="7"/>
    <x v="7"/>
    <n v="99999"/>
    <s v="USA"/>
    <x v="6"/>
    <x v="1"/>
    <d v="2014-01-12T00:00:00"/>
    <s v="Shipping Company A"/>
    <s v="Roland Wacker"/>
    <s v="123 10th Street"/>
    <s v="Chicago"/>
    <s v="IL"/>
    <n v="99999"/>
    <s v="USA"/>
    <x v="3"/>
    <x v="12"/>
    <x v="7"/>
    <n v="22"/>
    <n v="17"/>
    <x v="17"/>
    <n v="35.903999999999996"/>
  </r>
  <r>
    <n v="1019"/>
    <x v="8"/>
    <n v="10"/>
    <x v="8"/>
    <s v="123 10th Street"/>
    <x v="7"/>
    <x v="7"/>
    <n v="99999"/>
    <s v="USA"/>
    <x v="6"/>
    <x v="1"/>
    <d v="2014-01-12T00:00:00"/>
    <s v="Shipping Company A"/>
    <s v="Roland Wacker"/>
    <s v="123 10th Street"/>
    <s v="Chicago"/>
    <s v="IL"/>
    <n v="99999"/>
    <s v="USA"/>
    <x v="3"/>
    <x v="6"/>
    <x v="2"/>
    <n v="9.1999999999999993"/>
    <n v="44"/>
    <x v="18"/>
    <n v="42.099199999999996"/>
  </r>
  <r>
    <n v="1020"/>
    <x v="10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1"/>
    <x v="1"/>
    <n v="3.5"/>
    <n v="81"/>
    <x v="19"/>
    <n v="27.499500000000001"/>
  </r>
  <r>
    <n v="1021"/>
    <x v="10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10"/>
    <x v="0"/>
    <n v="2.99"/>
    <n v="49"/>
    <x v="20"/>
    <n v="15.090530000000005"/>
  </r>
  <r>
    <n v="1022"/>
    <x v="11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4"/>
    <x v="0"/>
    <n v="18"/>
    <n v="42"/>
    <x v="21"/>
    <n v="75.600000000000009"/>
  </r>
  <r>
    <n v="1023"/>
    <x v="11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5"/>
    <x v="0"/>
    <n v="46"/>
    <n v="58"/>
    <x v="22"/>
    <n v="269.46800000000002"/>
  </r>
  <r>
    <n v="1024"/>
    <x v="11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10"/>
    <x v="0"/>
    <n v="2.99"/>
    <n v="67"/>
    <x v="23"/>
    <n v="20.033000000000001"/>
  </r>
  <r>
    <n v="1025"/>
    <x v="7"/>
    <n v="28"/>
    <x v="7"/>
    <s v="789 28th Street"/>
    <x v="6"/>
    <x v="6"/>
    <n v="99999"/>
    <s v="USA"/>
    <x v="5"/>
    <x v="3"/>
    <d v="2014-01-30T00:00:00"/>
    <s v="Shipping Company C"/>
    <s v="Amritansh Raghav"/>
    <s v="789 28th Street"/>
    <s v="Memphis"/>
    <s v="TN"/>
    <n v="99999"/>
    <s v="USA"/>
    <x v="1"/>
    <x v="8"/>
    <x v="4"/>
    <n v="9.65"/>
    <n v="100"/>
    <x v="24"/>
    <n v="93.605000000000004"/>
  </r>
  <r>
    <n v="1026"/>
    <x v="7"/>
    <n v="28"/>
    <x v="7"/>
    <s v="789 28th Street"/>
    <x v="6"/>
    <x v="6"/>
    <n v="99999"/>
    <s v="USA"/>
    <x v="5"/>
    <x v="3"/>
    <d v="2014-01-30T00:00:00"/>
    <s v="Shipping Company C"/>
    <s v="Amritansh Raghav"/>
    <s v="789 28th Street"/>
    <s v="Memphis"/>
    <s v="TN"/>
    <n v="99999"/>
    <s v="USA"/>
    <x v="1"/>
    <x v="13"/>
    <x v="8"/>
    <n v="18.399999999999999"/>
    <n v="63"/>
    <x v="25"/>
    <n v="114.76079999999999"/>
  </r>
  <r>
    <n v="1027"/>
    <x v="12"/>
    <n v="9"/>
    <x v="12"/>
    <s v="123 9th Street"/>
    <x v="11"/>
    <x v="11"/>
    <n v="99999"/>
    <s v="USA"/>
    <x v="7"/>
    <x v="0"/>
    <d v="2014-01-11T00:00:00"/>
    <s v="Shipping Company A"/>
    <s v="Sven Mortensen"/>
    <s v="123 9th Street"/>
    <s v="Salt Lake City"/>
    <s v="UT"/>
    <n v="99999"/>
    <s v="USA"/>
    <x v="0"/>
    <x v="14"/>
    <x v="9"/>
    <n v="19.5"/>
    <n v="57"/>
    <x v="26"/>
    <n v="110.0385"/>
  </r>
  <r>
    <n v="1028"/>
    <x v="12"/>
    <n v="9"/>
    <x v="12"/>
    <s v="123 9th Street"/>
    <x v="11"/>
    <x v="11"/>
    <n v="99999"/>
    <s v="USA"/>
    <x v="7"/>
    <x v="0"/>
    <d v="2014-01-11T00:00:00"/>
    <s v="Shipping Company A"/>
    <s v="Sven Mortensen"/>
    <s v="123 9th Street"/>
    <s v="Salt Lake City"/>
    <s v="UT"/>
    <n v="99999"/>
    <s v="USA"/>
    <x v="0"/>
    <x v="15"/>
    <x v="10"/>
    <n v="34.799999999999997"/>
    <n v="81"/>
    <x v="27"/>
    <n v="295.97399999999999"/>
  </r>
  <r>
    <n v="1029"/>
    <x v="6"/>
    <n v="6"/>
    <x v="6"/>
    <s v="123 6th Street"/>
    <x v="5"/>
    <x v="5"/>
    <n v="99999"/>
    <s v="USA"/>
    <x v="4"/>
    <x v="2"/>
    <d v="2014-01-08T00:00:00"/>
    <s v="Shipping Company B"/>
    <s v="Francisco Pérez-Olaeta"/>
    <s v="123 6th Street"/>
    <s v="Milwaukee"/>
    <s v="WI"/>
    <n v="99999"/>
    <s v="USA"/>
    <x v="1"/>
    <x v="0"/>
    <x v="0"/>
    <n v="14"/>
    <n v="71"/>
    <x v="28"/>
    <n v="95.424000000000007"/>
  </r>
  <r>
    <n v="1030"/>
    <x v="13"/>
    <n v="8"/>
    <x v="3"/>
    <s v="123 8th Street"/>
    <x v="2"/>
    <x v="2"/>
    <n v="99999"/>
    <s v="USA"/>
    <x v="2"/>
    <x v="2"/>
    <d v="2014-02-10T00:00:00"/>
    <s v="Shipping Company B"/>
    <s v="Elizabeth Andersen"/>
    <s v="123 8th Street"/>
    <s v="Portland"/>
    <s v="OR"/>
    <n v="99999"/>
    <s v="USA"/>
    <x v="0"/>
    <x v="9"/>
    <x v="5"/>
    <n v="40"/>
    <n v="32"/>
    <x v="11"/>
    <n v="129.28"/>
  </r>
  <r>
    <n v="1031"/>
    <x v="14"/>
    <n v="3"/>
    <x v="5"/>
    <s v="123 3rd Street"/>
    <x v="4"/>
    <x v="4"/>
    <n v="99999"/>
    <s v="USA"/>
    <x v="0"/>
    <x v="0"/>
    <d v="2014-02-05T00:00:00"/>
    <s v="Shipping Company B"/>
    <s v="Thomas Axerr"/>
    <s v="123 3rd Street"/>
    <s v="Los Angelas"/>
    <s v="CA"/>
    <n v="99999"/>
    <s v="USA"/>
    <x v="2"/>
    <x v="16"/>
    <x v="7"/>
    <n v="10"/>
    <n v="63"/>
    <x v="29"/>
    <n v="65.52"/>
  </r>
  <r>
    <n v="1032"/>
    <x v="14"/>
    <n v="3"/>
    <x v="5"/>
    <s v="123 3rd Street"/>
    <x v="4"/>
    <x v="4"/>
    <n v="99999"/>
    <s v="USA"/>
    <x v="0"/>
    <x v="0"/>
    <d v="2014-02-05T00:00:00"/>
    <s v="Shipping Company B"/>
    <s v="Thomas Axerr"/>
    <s v="123 3rd Street"/>
    <s v="Los Angelas"/>
    <s v="CA"/>
    <n v="99999"/>
    <s v="USA"/>
    <x v="2"/>
    <x v="9"/>
    <x v="5"/>
    <n v="40"/>
    <n v="30"/>
    <x v="30"/>
    <n v="120"/>
  </r>
  <r>
    <n v="1033"/>
    <x v="15"/>
    <n v="6"/>
    <x v="6"/>
    <s v="123 6th Street"/>
    <x v="5"/>
    <x v="5"/>
    <n v="99999"/>
    <s v="USA"/>
    <x v="4"/>
    <x v="2"/>
    <d v="2014-02-08T00:00:00"/>
    <s v="Shipping Company B"/>
    <s v="Francisco Pérez-Olaeta"/>
    <s v="123 6th Street"/>
    <s v="Milwaukee"/>
    <s v="WI"/>
    <n v="99999"/>
    <s v="USA"/>
    <x v="1"/>
    <x v="17"/>
    <x v="11"/>
    <m/>
    <m/>
    <x v="31"/>
    <n v="43"/>
  </r>
  <r>
    <n v="1034"/>
    <x v="16"/>
    <n v="28"/>
    <x v="7"/>
    <s v="789 28th Street"/>
    <x v="6"/>
    <x v="6"/>
    <n v="99999"/>
    <s v="USA"/>
    <x v="5"/>
    <x v="3"/>
    <d v="2014-03-02T00:00:00"/>
    <s v="Shipping Company C"/>
    <s v="Amritansh Raghav"/>
    <s v="789 28th Street"/>
    <s v="Memphis"/>
    <s v="TN"/>
    <n v="99999"/>
    <s v="USA"/>
    <x v="0"/>
    <x v="17"/>
    <x v="11"/>
    <m/>
    <m/>
    <x v="31"/>
    <n v="31"/>
  </r>
  <r>
    <n v="1035"/>
    <x v="13"/>
    <n v="8"/>
    <x v="3"/>
    <s v="123 8th Street"/>
    <x v="2"/>
    <x v="2"/>
    <n v="99999"/>
    <s v="USA"/>
    <x v="2"/>
    <x v="2"/>
    <d v="2014-02-10T00:00:00"/>
    <s v="Shipping Company C"/>
    <s v="Elizabeth Andersen"/>
    <s v="123 8th Street"/>
    <s v="Portland"/>
    <s v="OR"/>
    <n v="99999"/>
    <s v="USA"/>
    <x v="0"/>
    <x v="17"/>
    <x v="11"/>
    <m/>
    <m/>
    <x v="31"/>
    <n v="46"/>
  </r>
  <r>
    <n v="1036"/>
    <x v="17"/>
    <n v="10"/>
    <x v="8"/>
    <s v="123 10th Street"/>
    <x v="7"/>
    <x v="7"/>
    <n v="99999"/>
    <s v="USA"/>
    <x v="6"/>
    <x v="1"/>
    <d v="2014-02-12T00:00:00"/>
    <s v="Shipping Company B"/>
    <s v="Roland Wacker"/>
    <s v="123 10th Street"/>
    <s v="Chicago"/>
    <s v="IL"/>
    <n v="99999"/>
    <s v="USA"/>
    <x v="1"/>
    <x v="18"/>
    <x v="1"/>
    <n v="10"/>
    <n v="47"/>
    <x v="32"/>
    <n v="48.88"/>
  </r>
  <r>
    <n v="1038"/>
    <x v="17"/>
    <n v="10"/>
    <x v="8"/>
    <s v="123 10th Street"/>
    <x v="7"/>
    <x v="7"/>
    <n v="99999"/>
    <s v="USA"/>
    <x v="6"/>
    <x v="1"/>
    <m/>
    <s v="Shipping Company A"/>
    <s v="Roland Wacker"/>
    <s v="123 10th Street"/>
    <s v="Chicago"/>
    <s v="IL"/>
    <n v="99999"/>
    <s v="USA"/>
    <x v="3"/>
    <x v="1"/>
    <x v="1"/>
    <n v="3.5"/>
    <n v="49"/>
    <x v="33"/>
    <n v="16.464000000000002"/>
  </r>
  <r>
    <n v="1039"/>
    <x v="18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9"/>
    <x v="5"/>
    <n v="40"/>
    <n v="72"/>
    <x v="34"/>
    <n v="285.12"/>
  </r>
  <r>
    <n v="1040"/>
    <x v="19"/>
    <n v="1"/>
    <x v="11"/>
    <s v="123 1st Street"/>
    <x v="10"/>
    <x v="10"/>
    <n v="99999"/>
    <s v="USA"/>
    <x v="2"/>
    <x v="2"/>
    <m/>
    <s v="Shipping Company C"/>
    <s v="Anna Bedecs"/>
    <s v="123 1st Street"/>
    <s v="Seattle"/>
    <s v="WA"/>
    <n v="99999"/>
    <s v="USA"/>
    <x v="3"/>
    <x v="13"/>
    <x v="8"/>
    <n v="18.399999999999999"/>
    <n v="13"/>
    <x v="35"/>
    <n v="23.680800000000001"/>
  </r>
  <r>
    <n v="1041"/>
    <x v="16"/>
    <n v="28"/>
    <x v="7"/>
    <s v="789 28th Street"/>
    <x v="6"/>
    <x v="6"/>
    <n v="99999"/>
    <s v="USA"/>
    <x v="5"/>
    <x v="3"/>
    <n v="41700"/>
    <s v="Shipping Company C"/>
    <s v="Amritansh Raghav"/>
    <s v="789 28th Street"/>
    <s v="Memphis"/>
    <s v="TN"/>
    <n v="99999"/>
    <s v="USA"/>
    <x v="1"/>
    <x v="5"/>
    <x v="0"/>
    <n v="46"/>
    <n v="32"/>
    <x v="36"/>
    <n v="148.67200000000003"/>
  </r>
  <r>
    <n v="1042"/>
    <x v="20"/>
    <n v="9"/>
    <x v="12"/>
    <s v="123 9th Street"/>
    <x v="11"/>
    <x v="11"/>
    <n v="99999"/>
    <s v="USA"/>
    <x v="7"/>
    <x v="0"/>
    <d v="2014-02-11T00:00:00"/>
    <s v="Shipping Company A"/>
    <s v="Sven Mortensen"/>
    <s v="123 9th Street"/>
    <s v="Salt Lake City"/>
    <s v="UT"/>
    <n v="99999"/>
    <s v="USA"/>
    <x v="0"/>
    <x v="8"/>
    <x v="4"/>
    <n v="9.65"/>
    <n v="27"/>
    <x v="37"/>
    <n v="24.752250000000004"/>
  </r>
  <r>
    <n v="1043"/>
    <x v="15"/>
    <n v="6"/>
    <x v="6"/>
    <s v="123 6th Street"/>
    <x v="5"/>
    <x v="5"/>
    <n v="99999"/>
    <s v="USA"/>
    <x v="4"/>
    <x v="2"/>
    <d v="2014-02-08T00:00:00"/>
    <s v="Shipping Company B"/>
    <s v="Francisco Pérez-Olaeta"/>
    <s v="123 6th Street"/>
    <s v="Milwaukee"/>
    <s v="WI"/>
    <n v="99999"/>
    <s v="USA"/>
    <x v="1"/>
    <x v="7"/>
    <x v="3"/>
    <n v="12.75"/>
    <n v="71"/>
    <x v="38"/>
    <n v="91.430250000000001"/>
  </r>
  <r>
    <n v="1044"/>
    <x v="13"/>
    <n v="8"/>
    <x v="3"/>
    <s v="123 8th Street"/>
    <x v="2"/>
    <x v="2"/>
    <n v="99999"/>
    <s v="USA"/>
    <x v="2"/>
    <x v="2"/>
    <d v="2014-02-10T00:00:00"/>
    <s v="Shipping Company B"/>
    <s v="Elizabeth Andersen"/>
    <s v="123 8th Street"/>
    <s v="Portland"/>
    <s v="OR"/>
    <n v="99999"/>
    <s v="USA"/>
    <x v="0"/>
    <x v="7"/>
    <x v="3"/>
    <n v="12.75"/>
    <n v="13"/>
    <x v="39"/>
    <n v="15.746249999999998"/>
  </r>
  <r>
    <n v="1045"/>
    <x v="21"/>
    <n v="25"/>
    <x v="13"/>
    <s v="789 25th Street"/>
    <x v="7"/>
    <x v="7"/>
    <n v="99999"/>
    <s v="USA"/>
    <x v="6"/>
    <x v="1"/>
    <d v="2014-02-27T00:00:00"/>
    <s v="Shipping Company A"/>
    <s v="John Rodman"/>
    <s v="789 25th Street"/>
    <s v="Chicago"/>
    <s v="IL"/>
    <n v="99999"/>
    <s v="USA"/>
    <x v="2"/>
    <x v="12"/>
    <x v="7"/>
    <n v="22"/>
    <n v="98"/>
    <x v="40"/>
    <n v="204.82000000000002"/>
  </r>
  <r>
    <n v="1046"/>
    <x v="22"/>
    <n v="26"/>
    <x v="14"/>
    <s v="789 26th Street"/>
    <x v="9"/>
    <x v="9"/>
    <n v="99999"/>
    <s v="USA"/>
    <x v="5"/>
    <x v="3"/>
    <d v="2014-02-28T00:00:00"/>
    <s v="Shipping Company C"/>
    <s v="Run Liu"/>
    <s v="789 26th Street"/>
    <s v="Miami"/>
    <s v="FL"/>
    <n v="99999"/>
    <s v="USA"/>
    <x v="1"/>
    <x v="11"/>
    <x v="6"/>
    <n v="25"/>
    <n v="21"/>
    <x v="41"/>
    <n v="53.550000000000004"/>
  </r>
  <r>
    <n v="1047"/>
    <x v="23"/>
    <n v="29"/>
    <x v="4"/>
    <s v="789 29th Street"/>
    <x v="3"/>
    <x v="3"/>
    <n v="99999"/>
    <s v="USA"/>
    <x v="3"/>
    <x v="0"/>
    <d v="2014-03-03T00:00:00"/>
    <s v="Shipping Company B"/>
    <s v="Soo Jung Lee"/>
    <s v="789 29th Street"/>
    <s v="Denver"/>
    <s v="CO"/>
    <n v="99999"/>
    <s v="USA"/>
    <x v="0"/>
    <x v="19"/>
    <x v="12"/>
    <n v="39"/>
    <n v="26"/>
    <x v="42"/>
    <n v="106.47000000000001"/>
  </r>
  <r>
    <n v="1048"/>
    <x v="15"/>
    <n v="6"/>
    <x v="6"/>
    <s v="123 6th Street"/>
    <x v="5"/>
    <x v="5"/>
    <n v="99999"/>
    <s v="USA"/>
    <x v="4"/>
    <x v="2"/>
    <d v="2014-02-08T00:00:00"/>
    <s v="Shipping Company C"/>
    <s v="Francisco Pérez-Olaeta"/>
    <s v="123 6th Street"/>
    <s v="Milwaukee"/>
    <s v="WI"/>
    <n v="99999"/>
    <s v="USA"/>
    <x v="0"/>
    <x v="2"/>
    <x v="1"/>
    <n v="30"/>
    <n v="96"/>
    <x v="34"/>
    <n v="296.64"/>
  </r>
  <r>
    <n v="1049"/>
    <x v="15"/>
    <n v="6"/>
    <x v="6"/>
    <s v="123 6th Street"/>
    <x v="5"/>
    <x v="5"/>
    <n v="99999"/>
    <s v="USA"/>
    <x v="4"/>
    <x v="2"/>
    <d v="2014-02-08T00:00:00"/>
    <s v="Shipping Company C"/>
    <s v="Francisco Pérez-Olaeta"/>
    <s v="123 6th Street"/>
    <s v="Milwaukee"/>
    <s v="WI"/>
    <n v="99999"/>
    <s v="USA"/>
    <x v="0"/>
    <x v="3"/>
    <x v="1"/>
    <n v="53"/>
    <n v="16"/>
    <x v="43"/>
    <n v="88.192000000000021"/>
  </r>
  <r>
    <n v="1050"/>
    <x v="24"/>
    <n v="4"/>
    <x v="1"/>
    <s v="123 4th Street"/>
    <x v="1"/>
    <x v="1"/>
    <n v="99999"/>
    <s v="USA"/>
    <x v="1"/>
    <x v="1"/>
    <m/>
    <m/>
    <s v="Christina Lee"/>
    <s v="123 4th Street"/>
    <s v="New York"/>
    <s v="NY"/>
    <n v="99999"/>
    <s v="USA"/>
    <x v="3"/>
    <x v="20"/>
    <x v="9"/>
    <n v="38"/>
    <n v="96"/>
    <x v="44"/>
    <n v="346.56"/>
  </r>
  <r>
    <n v="1051"/>
    <x v="14"/>
    <n v="3"/>
    <x v="5"/>
    <s v="123 3rd Street"/>
    <x v="4"/>
    <x v="4"/>
    <n v="99999"/>
    <s v="USA"/>
    <x v="0"/>
    <x v="0"/>
    <m/>
    <m/>
    <s v="Thomas Axerr"/>
    <s v="123 3rd Street"/>
    <s v="Los Angelas"/>
    <s v="CA"/>
    <n v="99999"/>
    <s v="USA"/>
    <x v="3"/>
    <x v="10"/>
    <x v="0"/>
    <n v="2.99"/>
    <n v="75"/>
    <x v="45"/>
    <n v="23.097750000000005"/>
  </r>
  <r>
    <n v="1052"/>
    <x v="25"/>
    <n v="9"/>
    <x v="12"/>
    <s v="123 9th Street"/>
    <x v="11"/>
    <x v="11"/>
    <n v="99999"/>
    <s v="USA"/>
    <x v="7"/>
    <x v="0"/>
    <n v="41709"/>
    <s v="Shipping Company A"/>
    <s v="Sven Mortensen"/>
    <s v="123 9th Street"/>
    <s v="Salt Lake City"/>
    <s v="UT"/>
    <n v="99999"/>
    <s v="USA"/>
    <x v="0"/>
    <x v="14"/>
    <x v="9"/>
    <n v="19.5"/>
    <n v="55"/>
    <x v="46"/>
    <n v="108.32250000000001"/>
  </r>
  <r>
    <n v="1053"/>
    <x v="25"/>
    <n v="9"/>
    <x v="12"/>
    <s v="123 9th Street"/>
    <x v="11"/>
    <x v="11"/>
    <n v="99999"/>
    <s v="USA"/>
    <x v="7"/>
    <x v="0"/>
    <d v="2014-03-11T00:00:00"/>
    <s v="Shipping Company A"/>
    <s v="Sven Mortensen"/>
    <s v="123 9th Street"/>
    <s v="Salt Lake City"/>
    <s v="UT"/>
    <n v="99999"/>
    <s v="USA"/>
    <x v="0"/>
    <x v="15"/>
    <x v="10"/>
    <n v="34.799999999999997"/>
    <n v="11"/>
    <x v="47"/>
    <n v="36.748799999999996"/>
  </r>
  <r>
    <n v="1054"/>
    <x v="26"/>
    <n v="6"/>
    <x v="6"/>
    <s v="123 6th Street"/>
    <x v="5"/>
    <x v="5"/>
    <n v="99999"/>
    <s v="USA"/>
    <x v="4"/>
    <x v="2"/>
    <d v="2014-03-08T00:00:00"/>
    <s v="Shipping Company B"/>
    <s v="Francisco Pérez-Olaeta"/>
    <s v="123 6th Street"/>
    <s v="Milwaukee"/>
    <s v="WI"/>
    <n v="99999"/>
    <s v="USA"/>
    <x v="1"/>
    <x v="0"/>
    <x v="0"/>
    <n v="14"/>
    <n v="53"/>
    <x v="48"/>
    <n v="71.974000000000004"/>
  </r>
  <r>
    <n v="1055"/>
    <x v="27"/>
    <n v="8"/>
    <x v="3"/>
    <s v="123 8th Street"/>
    <x v="2"/>
    <x v="2"/>
    <n v="99999"/>
    <s v="USA"/>
    <x v="2"/>
    <x v="2"/>
    <d v="2014-03-10T00:00:00"/>
    <s v="Shipping Company B"/>
    <s v="Elizabeth Andersen"/>
    <s v="123 8th Street"/>
    <s v="Portland"/>
    <s v="OR"/>
    <n v="99999"/>
    <s v="USA"/>
    <x v="0"/>
    <x v="9"/>
    <x v="5"/>
    <n v="40"/>
    <n v="85"/>
    <x v="49"/>
    <n v="357"/>
  </r>
  <r>
    <n v="1056"/>
    <x v="27"/>
    <n v="8"/>
    <x v="3"/>
    <s v="123 8th Street"/>
    <x v="2"/>
    <x v="2"/>
    <n v="99999"/>
    <s v="USA"/>
    <x v="2"/>
    <x v="2"/>
    <d v="2014-03-10T00:00:00"/>
    <s v="Shipping Company B"/>
    <s v="Elizabeth Andersen"/>
    <s v="123 8th Street"/>
    <s v="Portland"/>
    <s v="OR"/>
    <n v="99999"/>
    <s v="USA"/>
    <x v="0"/>
    <x v="6"/>
    <x v="2"/>
    <n v="9.1999999999999993"/>
    <n v="97"/>
    <x v="50"/>
    <n v="91.024800000000013"/>
  </r>
  <r>
    <n v="1057"/>
    <x v="28"/>
    <n v="25"/>
    <x v="13"/>
    <s v="789 25th Street"/>
    <x v="7"/>
    <x v="7"/>
    <n v="99999"/>
    <s v="USA"/>
    <x v="6"/>
    <x v="1"/>
    <d v="2014-03-27T00:00:00"/>
    <s v="Shipping Company A"/>
    <s v="John Rodman"/>
    <s v="789 25th Street"/>
    <s v="Chicago"/>
    <s v="IL"/>
    <n v="99999"/>
    <s v="USA"/>
    <x v="2"/>
    <x v="21"/>
    <x v="2"/>
    <n v="10"/>
    <n v="46"/>
    <x v="51"/>
    <n v="46.46"/>
  </r>
  <r>
    <n v="1058"/>
    <x v="29"/>
    <n v="26"/>
    <x v="14"/>
    <s v="789 26th Street"/>
    <x v="9"/>
    <x v="9"/>
    <n v="99999"/>
    <s v="USA"/>
    <x v="5"/>
    <x v="3"/>
    <d v="2014-03-28T00:00:00"/>
    <s v="Shipping Company C"/>
    <s v="Run Liu"/>
    <s v="789 26th Street"/>
    <s v="Miami"/>
    <s v="FL"/>
    <n v="99999"/>
    <s v="USA"/>
    <x v="1"/>
    <x v="22"/>
    <x v="13"/>
    <n v="21.35"/>
    <n v="97"/>
    <x v="52"/>
    <n v="196.74025"/>
  </r>
  <r>
    <n v="1059"/>
    <x v="29"/>
    <n v="26"/>
    <x v="14"/>
    <s v="789 26th Street"/>
    <x v="9"/>
    <x v="9"/>
    <n v="99999"/>
    <s v="USA"/>
    <x v="5"/>
    <x v="3"/>
    <d v="2014-03-28T00:00:00"/>
    <s v="Shipping Company C"/>
    <s v="Run Liu"/>
    <s v="789 26th Street"/>
    <s v="Miami"/>
    <s v="FL"/>
    <n v="99999"/>
    <s v="USA"/>
    <x v="1"/>
    <x v="8"/>
    <x v="4"/>
    <n v="9.65"/>
    <n v="97"/>
    <x v="53"/>
    <n v="95.477100000000021"/>
  </r>
  <r>
    <n v="1060"/>
    <x v="29"/>
    <n v="26"/>
    <x v="14"/>
    <s v="789 26th Street"/>
    <x v="9"/>
    <x v="9"/>
    <n v="99999"/>
    <s v="USA"/>
    <x v="5"/>
    <x v="3"/>
    <d v="2014-03-28T00:00:00"/>
    <s v="Shipping Company C"/>
    <s v="Run Liu"/>
    <s v="789 26th Street"/>
    <s v="Miami"/>
    <s v="FL"/>
    <n v="99999"/>
    <s v="USA"/>
    <x v="1"/>
    <x v="13"/>
    <x v="8"/>
    <n v="18.399999999999999"/>
    <n v="65"/>
    <x v="54"/>
    <n v="123.18800000000002"/>
  </r>
  <r>
    <n v="1061"/>
    <x v="30"/>
    <n v="29"/>
    <x v="4"/>
    <s v="789 29th Street"/>
    <x v="3"/>
    <x v="3"/>
    <n v="99999"/>
    <s v="USA"/>
    <x v="3"/>
    <x v="0"/>
    <d v="2014-03-31T00:00:00"/>
    <s v="Shipping Company B"/>
    <s v="Soo Jung Lee"/>
    <s v="789 29th Street"/>
    <s v="Denver"/>
    <s v="CO"/>
    <n v="99999"/>
    <s v="USA"/>
    <x v="0"/>
    <x v="0"/>
    <x v="0"/>
    <n v="14"/>
    <n v="72"/>
    <x v="55"/>
    <n v="100.80000000000001"/>
  </r>
  <r>
    <n v="1062"/>
    <x v="26"/>
    <n v="6"/>
    <x v="6"/>
    <s v="123 6th Street"/>
    <x v="5"/>
    <x v="5"/>
    <n v="99999"/>
    <s v="USA"/>
    <x v="4"/>
    <x v="2"/>
    <d v="2014-03-08T00:00:00"/>
    <s v="Shipping Company C"/>
    <s v="Francisco Pérez-Olaeta"/>
    <s v="123 6th Street"/>
    <s v="Milwaukee"/>
    <s v="WI"/>
    <n v="99999"/>
    <s v="USA"/>
    <x v="0"/>
    <x v="7"/>
    <x v="3"/>
    <n v="12.75"/>
    <n v="16"/>
    <x v="56"/>
    <n v="20.196000000000002"/>
  </r>
  <r>
    <n v="1064"/>
    <x v="31"/>
    <n v="4"/>
    <x v="1"/>
    <s v="123 4th Street"/>
    <x v="1"/>
    <x v="1"/>
    <n v="99999"/>
    <s v="USA"/>
    <x v="1"/>
    <x v="1"/>
    <d v="2014-03-06T00:00:00"/>
    <s v="Shipping Company A"/>
    <s v="Christina Lee"/>
    <s v="123 4th Street"/>
    <s v="New York"/>
    <s v="NY"/>
    <n v="99999"/>
    <s v="USA"/>
    <x v="1"/>
    <x v="23"/>
    <x v="6"/>
    <n v="81"/>
    <n v="77"/>
    <x v="57"/>
    <n v="642.41100000000006"/>
  </r>
  <r>
    <n v="1065"/>
    <x v="31"/>
    <n v="4"/>
    <x v="1"/>
    <s v="123 4th Street"/>
    <x v="1"/>
    <x v="1"/>
    <n v="99999"/>
    <s v="USA"/>
    <x v="1"/>
    <x v="1"/>
    <d v="2014-03-06T00:00:00"/>
    <s v="Shipping Company A"/>
    <s v="Christina Lee"/>
    <s v="123 4th Street"/>
    <s v="New York"/>
    <s v="NY"/>
    <n v="99999"/>
    <s v="USA"/>
    <x v="1"/>
    <x v="24"/>
    <x v="14"/>
    <n v="7"/>
    <n v="37"/>
    <x v="58"/>
    <n v="24.605"/>
  </r>
  <r>
    <n v="1067"/>
    <x v="27"/>
    <n v="8"/>
    <x v="3"/>
    <s v="123 8th Street"/>
    <x v="2"/>
    <x v="2"/>
    <n v="99999"/>
    <s v="USA"/>
    <x v="2"/>
    <x v="2"/>
    <d v="2014-03-10T00:00:00"/>
    <s v="Shipping Company C"/>
    <s v="Elizabeth Andersen"/>
    <s v="123 8th Street"/>
    <s v="Portland"/>
    <s v="OR"/>
    <n v="99999"/>
    <s v="USA"/>
    <x v="1"/>
    <x v="15"/>
    <x v="10"/>
    <n v="34.799999999999997"/>
    <n v="63"/>
    <x v="59"/>
    <n v="217.04759999999999"/>
  </r>
  <r>
    <n v="1070"/>
    <x v="32"/>
    <n v="3"/>
    <x v="5"/>
    <s v="123 3rd Street"/>
    <x v="4"/>
    <x v="4"/>
    <n v="99999"/>
    <s v="USA"/>
    <x v="0"/>
    <x v="0"/>
    <d v="2014-03-05T00:00:00"/>
    <s v="Shipping Company B"/>
    <s v="Thomas Axerr"/>
    <s v="123 3rd Street"/>
    <s v="Los Angelas"/>
    <s v="CA"/>
    <n v="99999"/>
    <s v="USA"/>
    <x v="2"/>
    <x v="16"/>
    <x v="7"/>
    <n v="10"/>
    <n v="48"/>
    <x v="60"/>
    <n v="48"/>
  </r>
  <r>
    <n v="1071"/>
    <x v="32"/>
    <n v="3"/>
    <x v="5"/>
    <s v="123 3rd Street"/>
    <x v="4"/>
    <x v="4"/>
    <n v="99999"/>
    <s v="USA"/>
    <x v="0"/>
    <x v="0"/>
    <d v="2014-03-05T00:00:00"/>
    <s v="Shipping Company B"/>
    <s v="Thomas Axerr"/>
    <s v="123 3rd Street"/>
    <s v="Los Angelas"/>
    <s v="CA"/>
    <n v="99999"/>
    <s v="USA"/>
    <x v="2"/>
    <x v="9"/>
    <x v="5"/>
    <n v="40"/>
    <n v="71"/>
    <x v="61"/>
    <n v="295.36"/>
  </r>
  <r>
    <n v="1075"/>
    <x v="33"/>
    <n v="10"/>
    <x v="8"/>
    <s v="123 10th Street"/>
    <x v="7"/>
    <x v="7"/>
    <n v="99999"/>
    <s v="USA"/>
    <x v="6"/>
    <x v="1"/>
    <d v="2014-03-12T00:00:00"/>
    <s v="Shipping Company B"/>
    <s v="Roland Wacker"/>
    <s v="123 10th Street"/>
    <s v="Chicago"/>
    <s v="IL"/>
    <n v="99999"/>
    <s v="USA"/>
    <x v="1"/>
    <x v="18"/>
    <x v="1"/>
    <n v="10"/>
    <n v="55"/>
    <x v="62"/>
    <n v="55"/>
  </r>
  <r>
    <n v="1077"/>
    <x v="33"/>
    <n v="10"/>
    <x v="8"/>
    <s v="123 10th Street"/>
    <x v="7"/>
    <x v="7"/>
    <n v="99999"/>
    <s v="USA"/>
    <x v="6"/>
    <x v="1"/>
    <m/>
    <s v="Shipping Company A"/>
    <s v="Roland Wacker"/>
    <s v="123 10th Street"/>
    <s v="Chicago"/>
    <s v="IL"/>
    <n v="99999"/>
    <s v="USA"/>
    <x v="3"/>
    <x v="1"/>
    <x v="1"/>
    <n v="3.5"/>
    <n v="21"/>
    <x v="63"/>
    <n v="7.3500000000000005"/>
  </r>
  <r>
    <n v="1078"/>
    <x v="34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9"/>
    <x v="5"/>
    <n v="40"/>
    <n v="67"/>
    <x v="64"/>
    <n v="270.68"/>
  </r>
  <r>
    <n v="1079"/>
    <x v="23"/>
    <n v="1"/>
    <x v="11"/>
    <s v="123 1st Street"/>
    <x v="10"/>
    <x v="10"/>
    <n v="99999"/>
    <s v="USA"/>
    <x v="2"/>
    <x v="2"/>
    <m/>
    <s v="Shipping Company C"/>
    <s v="Anna Bedecs"/>
    <s v="123 1st Street"/>
    <s v="Seattle"/>
    <s v="WA"/>
    <n v="99999"/>
    <s v="USA"/>
    <x v="3"/>
    <x v="13"/>
    <x v="8"/>
    <n v="18.399999999999999"/>
    <n v="75"/>
    <x v="65"/>
    <n v="138"/>
  </r>
  <r>
    <n v="1080"/>
    <x v="35"/>
    <n v="28"/>
    <x v="7"/>
    <s v="789 28th Street"/>
    <x v="6"/>
    <x v="6"/>
    <n v="99999"/>
    <s v="USA"/>
    <x v="5"/>
    <x v="3"/>
    <d v="2014-03-30T00:00:00"/>
    <s v="Shipping Company C"/>
    <s v="Amritansh Raghav"/>
    <s v="789 28th Street"/>
    <s v="Memphis"/>
    <s v="TN"/>
    <n v="99999"/>
    <s v="USA"/>
    <x v="1"/>
    <x v="5"/>
    <x v="0"/>
    <n v="46"/>
    <n v="17"/>
    <x v="66"/>
    <n v="80.546000000000006"/>
  </r>
  <r>
    <n v="1081"/>
    <x v="36"/>
    <n v="4"/>
    <x v="1"/>
    <s v="123 4th Street"/>
    <x v="1"/>
    <x v="1"/>
    <n v="99999"/>
    <s v="USA"/>
    <x v="1"/>
    <x v="1"/>
    <d v="2014-04-06T00:00:00"/>
    <s v="Shipping Company A"/>
    <s v="Christina Lee"/>
    <s v="123 4th Street"/>
    <s v="New York"/>
    <s v="NY"/>
    <n v="99999"/>
    <s v="USA"/>
    <x v="1"/>
    <x v="1"/>
    <x v="1"/>
    <n v="3.5"/>
    <n v="48"/>
    <x v="67"/>
    <n v="16.295999999999999"/>
  </r>
  <r>
    <n v="1082"/>
    <x v="37"/>
    <n v="12"/>
    <x v="2"/>
    <s v="123 12th Street"/>
    <x v="0"/>
    <x v="0"/>
    <n v="99999"/>
    <s v="USA"/>
    <x v="0"/>
    <x v="0"/>
    <d v="2014-04-14T00:00:00"/>
    <s v="Shipping Company B"/>
    <s v="John Edwards"/>
    <s v="123 12th Street"/>
    <s v="Las Vegas"/>
    <s v="NV"/>
    <n v="99999"/>
    <s v="USA"/>
    <x v="1"/>
    <x v="4"/>
    <x v="0"/>
    <n v="18"/>
    <n v="74"/>
    <x v="68"/>
    <n v="137.19600000000003"/>
  </r>
  <r>
    <n v="1083"/>
    <x v="37"/>
    <n v="12"/>
    <x v="2"/>
    <s v="123 12th Street"/>
    <x v="0"/>
    <x v="0"/>
    <n v="99999"/>
    <s v="USA"/>
    <x v="0"/>
    <x v="0"/>
    <d v="2014-04-14T00:00:00"/>
    <s v="Shipping Company B"/>
    <s v="John Edwards"/>
    <s v="123 12th Street"/>
    <s v="Las Vegas"/>
    <s v="NV"/>
    <n v="99999"/>
    <s v="USA"/>
    <x v="1"/>
    <x v="5"/>
    <x v="0"/>
    <n v="46"/>
    <n v="96"/>
    <x v="69"/>
    <n v="428.35200000000003"/>
  </r>
  <r>
    <n v="1084"/>
    <x v="38"/>
    <n v="8"/>
    <x v="3"/>
    <s v="123 8th Street"/>
    <x v="2"/>
    <x v="2"/>
    <n v="99999"/>
    <s v="USA"/>
    <x v="2"/>
    <x v="2"/>
    <d v="2014-04-10T00:00:00"/>
    <s v="Shipping Company C"/>
    <s v="Elizabeth Andersen"/>
    <s v="123 8th Street"/>
    <s v="Portland"/>
    <s v="OR"/>
    <n v="99999"/>
    <s v="USA"/>
    <x v="1"/>
    <x v="6"/>
    <x v="2"/>
    <n v="9.1999999999999993"/>
    <n v="12"/>
    <x v="70"/>
    <n v="11.3712"/>
  </r>
  <r>
    <n v="1085"/>
    <x v="36"/>
    <n v="4"/>
    <x v="1"/>
    <s v="123 4th Street"/>
    <x v="1"/>
    <x v="1"/>
    <n v="99999"/>
    <s v="USA"/>
    <x v="1"/>
    <x v="1"/>
    <n v="41735"/>
    <s v="Shipping Company C"/>
    <s v="Christina Lee"/>
    <s v="123 4th Street"/>
    <s v="New York"/>
    <s v="NY"/>
    <n v="99999"/>
    <s v="USA"/>
    <x v="0"/>
    <x v="6"/>
    <x v="2"/>
    <n v="9.1999999999999993"/>
    <n v="62"/>
    <x v="71"/>
    <n v="58.751199999999997"/>
  </r>
  <r>
    <n v="1086"/>
    <x v="39"/>
    <n v="29"/>
    <x v="4"/>
    <s v="789 29th Street"/>
    <x v="3"/>
    <x v="3"/>
    <n v="99999"/>
    <s v="USA"/>
    <x v="3"/>
    <x v="0"/>
    <n v="41760"/>
    <s v="Shipping Company B"/>
    <s v="Soo Jung Lee"/>
    <s v="789 29th Street"/>
    <s v="Denver"/>
    <s v="CO"/>
    <n v="99999"/>
    <s v="USA"/>
    <x v="0"/>
    <x v="7"/>
    <x v="3"/>
    <n v="12.75"/>
    <n v="35"/>
    <x v="72"/>
    <n v="45.963750000000005"/>
  </r>
  <r>
    <n v="1087"/>
    <x v="40"/>
    <n v="3"/>
    <x v="5"/>
    <s v="123 3rd Street"/>
    <x v="4"/>
    <x v="4"/>
    <n v="99999"/>
    <s v="USA"/>
    <x v="0"/>
    <x v="0"/>
    <n v="41734"/>
    <s v="Shipping Company B"/>
    <s v="Thomas Axerr"/>
    <s v="123 3rd Street"/>
    <s v="Los Angelas"/>
    <s v="CA"/>
    <n v="99999"/>
    <s v="USA"/>
    <x v="2"/>
    <x v="8"/>
    <x v="4"/>
    <n v="9.65"/>
    <n v="95"/>
    <x v="73"/>
    <n v="91.675000000000011"/>
  </r>
  <r>
    <n v="1088"/>
    <x v="41"/>
    <n v="6"/>
    <x v="6"/>
    <s v="123 6th Street"/>
    <x v="5"/>
    <x v="5"/>
    <n v="99999"/>
    <s v="USA"/>
    <x v="4"/>
    <x v="2"/>
    <n v="41737"/>
    <s v="Shipping Company B"/>
    <s v="Francisco Pérez-Olaeta"/>
    <s v="123 6th Street"/>
    <s v="Milwaukee"/>
    <s v="WI"/>
    <n v="99999"/>
    <s v="USA"/>
    <x v="1"/>
    <x v="9"/>
    <x v="5"/>
    <n v="40"/>
    <n v="17"/>
    <x v="74"/>
    <n v="68.680000000000007"/>
  </r>
  <r>
    <n v="1089"/>
    <x v="42"/>
    <n v="28"/>
    <x v="7"/>
    <s v="789 28th Street"/>
    <x v="6"/>
    <x v="6"/>
    <n v="99999"/>
    <s v="USA"/>
    <x v="5"/>
    <x v="3"/>
    <d v="2014-04-30T00:00:00"/>
    <s v="Shipping Company C"/>
    <s v="Amritansh Raghav"/>
    <s v="789 28th Street"/>
    <s v="Memphis"/>
    <s v="TN"/>
    <n v="99999"/>
    <s v="USA"/>
    <x v="0"/>
    <x v="5"/>
    <x v="0"/>
    <n v="46"/>
    <n v="96"/>
    <x v="69"/>
    <n v="463.68000000000006"/>
  </r>
  <r>
    <n v="1090"/>
    <x v="38"/>
    <n v="8"/>
    <x v="3"/>
    <s v="123 8th Street"/>
    <x v="2"/>
    <x v="2"/>
    <n v="99999"/>
    <s v="USA"/>
    <x v="2"/>
    <x v="2"/>
    <d v="2014-04-10T00:00:00"/>
    <s v="Shipping Company C"/>
    <s v="Elizabeth Andersen"/>
    <s v="123 8th Street"/>
    <s v="Portland"/>
    <s v="OR"/>
    <n v="99999"/>
    <s v="USA"/>
    <x v="0"/>
    <x v="7"/>
    <x v="3"/>
    <n v="12.75"/>
    <n v="83"/>
    <x v="75"/>
    <n v="102.65025"/>
  </r>
  <r>
    <n v="1091"/>
    <x v="43"/>
    <n v="10"/>
    <x v="8"/>
    <s v="123 10th Street"/>
    <x v="7"/>
    <x v="7"/>
    <n v="99999"/>
    <s v="USA"/>
    <x v="6"/>
    <x v="1"/>
    <d v="2014-04-12T00:00:00"/>
    <s v="Shipping Company B"/>
    <s v="Roland Wacker"/>
    <s v="123 10th Street"/>
    <s v="Chicago"/>
    <s v="IL"/>
    <n v="99999"/>
    <s v="USA"/>
    <x v="1"/>
    <x v="10"/>
    <x v="0"/>
    <n v="2.99"/>
    <n v="88"/>
    <x v="76"/>
    <n v="26.04888"/>
  </r>
  <r>
    <n v="1092"/>
    <x v="44"/>
    <n v="7"/>
    <x v="9"/>
    <s v="123 7th Street"/>
    <x v="8"/>
    <x v="8"/>
    <n v="99999"/>
    <s v="USA"/>
    <x v="2"/>
    <x v="2"/>
    <m/>
    <m/>
    <s v="Ming-Yang Xie"/>
    <s v="123 7th Street"/>
    <s v="Boise"/>
    <s v="ID"/>
    <n v="99999"/>
    <s v="USA"/>
    <x v="3"/>
    <x v="5"/>
    <x v="0"/>
    <n v="46"/>
    <n v="59"/>
    <x v="77"/>
    <n v="284.97000000000003"/>
  </r>
  <r>
    <n v="1093"/>
    <x v="43"/>
    <n v="10"/>
    <x v="8"/>
    <s v="123 10th Street"/>
    <x v="7"/>
    <x v="7"/>
    <n v="99999"/>
    <s v="USA"/>
    <x v="6"/>
    <x v="1"/>
    <d v="2014-04-12T00:00:00"/>
    <s v="Shipping Company A"/>
    <s v="Roland Wacker"/>
    <s v="123 10th Street"/>
    <s v="Chicago"/>
    <s v="IL"/>
    <n v="99999"/>
    <s v="USA"/>
    <x v="3"/>
    <x v="11"/>
    <x v="6"/>
    <n v="25"/>
    <n v="27"/>
    <x v="78"/>
    <n v="68.849999999999994"/>
  </r>
  <r>
    <n v="1094"/>
    <x v="43"/>
    <n v="10"/>
    <x v="8"/>
    <s v="123 10th Street"/>
    <x v="7"/>
    <x v="7"/>
    <n v="99999"/>
    <s v="USA"/>
    <x v="6"/>
    <x v="1"/>
    <d v="2014-04-12T00:00:00"/>
    <s v="Shipping Company A"/>
    <s v="Roland Wacker"/>
    <s v="123 10th Street"/>
    <s v="Chicago"/>
    <s v="IL"/>
    <n v="99999"/>
    <s v="USA"/>
    <x v="3"/>
    <x v="12"/>
    <x v="7"/>
    <n v="22"/>
    <n v="37"/>
    <x v="79"/>
    <n v="85.470000000000013"/>
  </r>
  <r>
    <n v="1095"/>
    <x v="43"/>
    <n v="10"/>
    <x v="8"/>
    <s v="123 10th Street"/>
    <x v="7"/>
    <x v="7"/>
    <n v="99999"/>
    <s v="USA"/>
    <x v="6"/>
    <x v="1"/>
    <d v="2014-04-12T00:00:00"/>
    <s v="Shipping Company A"/>
    <s v="Roland Wacker"/>
    <s v="123 10th Street"/>
    <s v="Chicago"/>
    <s v="IL"/>
    <n v="99999"/>
    <s v="USA"/>
    <x v="3"/>
    <x v="6"/>
    <x v="2"/>
    <n v="9.1999999999999993"/>
    <n v="75"/>
    <x v="80"/>
    <n v="69"/>
  </r>
  <r>
    <n v="1096"/>
    <x v="45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1"/>
    <x v="1"/>
    <n v="3.5"/>
    <n v="71"/>
    <x v="81"/>
    <n v="24.104500000000002"/>
  </r>
  <r>
    <n v="1097"/>
    <x v="45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10"/>
    <x v="0"/>
    <n v="2.99"/>
    <n v="88"/>
    <x v="76"/>
    <n v="26.04888"/>
  </r>
  <r>
    <n v="1098"/>
    <x v="46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4"/>
    <x v="0"/>
    <n v="18"/>
    <n v="55"/>
    <x v="82"/>
    <n v="97.02"/>
  </r>
  <r>
    <n v="1099"/>
    <x v="47"/>
    <n v="29"/>
    <x v="4"/>
    <s v="789 29th Street"/>
    <x v="3"/>
    <x v="3"/>
    <n v="99999"/>
    <s v="USA"/>
    <x v="3"/>
    <x v="0"/>
    <d v="2014-05-31T00:00:00"/>
    <s v="Shipping Company B"/>
    <s v="Soo Jung Lee"/>
    <s v="789 29th Street"/>
    <s v="Denver"/>
    <s v="CO"/>
    <n v="99999"/>
    <s v="USA"/>
    <x v="0"/>
    <x v="7"/>
    <x v="3"/>
    <n v="12.75"/>
    <n v="14"/>
    <x v="83"/>
    <n v="16.9575"/>
  </r>
  <r>
    <n v="1100"/>
    <x v="48"/>
    <n v="3"/>
    <x v="5"/>
    <s v="123 3rd Street"/>
    <x v="4"/>
    <x v="4"/>
    <n v="99999"/>
    <s v="USA"/>
    <x v="0"/>
    <x v="0"/>
    <d v="2014-05-05T00:00:00"/>
    <s v="Shipping Company B"/>
    <s v="Thomas Axerr"/>
    <s v="123 3rd Street"/>
    <s v="Los Angelas"/>
    <s v="CA"/>
    <n v="99999"/>
    <s v="USA"/>
    <x v="2"/>
    <x v="8"/>
    <x v="4"/>
    <n v="9.65"/>
    <n v="43"/>
    <x v="84"/>
    <n v="42.324900000000007"/>
  </r>
  <r>
    <n v="1101"/>
    <x v="49"/>
    <n v="6"/>
    <x v="6"/>
    <s v="123 6th Street"/>
    <x v="5"/>
    <x v="5"/>
    <n v="99999"/>
    <s v="USA"/>
    <x v="4"/>
    <x v="2"/>
    <n v="41767"/>
    <s v="Shipping Company B"/>
    <s v="Francisco Pérez-Olaeta"/>
    <s v="123 6th Street"/>
    <s v="Milwaukee"/>
    <s v="WI"/>
    <n v="99999"/>
    <s v="USA"/>
    <x v="1"/>
    <x v="9"/>
    <x v="5"/>
    <n v="40"/>
    <n v="63"/>
    <x v="85"/>
    <n v="254.52"/>
  </r>
  <r>
    <n v="1102"/>
    <x v="50"/>
    <n v="28"/>
    <x v="7"/>
    <s v="789 28th Street"/>
    <x v="6"/>
    <x v="6"/>
    <n v="99999"/>
    <s v="USA"/>
    <x v="5"/>
    <x v="3"/>
    <d v="2014-05-30T00:00:00"/>
    <s v="Shipping Company C"/>
    <s v="Amritansh Raghav"/>
    <s v="789 28th Street"/>
    <s v="Memphis"/>
    <s v="TN"/>
    <n v="99999"/>
    <s v="USA"/>
    <x v="0"/>
    <x v="5"/>
    <x v="0"/>
    <n v="46"/>
    <n v="36"/>
    <x v="86"/>
    <n v="165.60000000000002"/>
  </r>
  <r>
    <n v="1103"/>
    <x v="51"/>
    <n v="8"/>
    <x v="3"/>
    <s v="123 8th Street"/>
    <x v="2"/>
    <x v="2"/>
    <n v="99999"/>
    <s v="USA"/>
    <x v="2"/>
    <x v="2"/>
    <d v="2014-05-10T00:00:00"/>
    <s v="Shipping Company C"/>
    <s v="Elizabeth Andersen"/>
    <s v="123 8th Street"/>
    <s v="Portland"/>
    <s v="OR"/>
    <n v="99999"/>
    <s v="USA"/>
    <x v="0"/>
    <x v="7"/>
    <x v="3"/>
    <n v="12.75"/>
    <n v="41"/>
    <x v="87"/>
    <n v="54.366000000000007"/>
  </r>
  <r>
    <n v="1104"/>
    <x v="52"/>
    <n v="10"/>
    <x v="8"/>
    <s v="123 10th Street"/>
    <x v="7"/>
    <x v="7"/>
    <n v="99999"/>
    <s v="USA"/>
    <x v="6"/>
    <x v="1"/>
    <d v="2014-05-12T00:00:00"/>
    <s v="Shipping Company B"/>
    <s v="Roland Wacker"/>
    <s v="123 10th Street"/>
    <s v="Chicago"/>
    <s v="IL"/>
    <n v="99999"/>
    <s v="USA"/>
    <x v="1"/>
    <x v="10"/>
    <x v="0"/>
    <n v="2.99"/>
    <n v="35"/>
    <x v="88"/>
    <n v="10.255700000000001"/>
  </r>
  <r>
    <n v="1105"/>
    <x v="53"/>
    <n v="7"/>
    <x v="9"/>
    <s v="123 7th Street"/>
    <x v="8"/>
    <x v="8"/>
    <n v="99999"/>
    <s v="USA"/>
    <x v="2"/>
    <x v="2"/>
    <m/>
    <m/>
    <s v="Ming-Yang Xie"/>
    <s v="123 7th Street"/>
    <s v="Boise"/>
    <s v="ID"/>
    <n v="99999"/>
    <s v="USA"/>
    <x v="3"/>
    <x v="5"/>
    <x v="0"/>
    <n v="46"/>
    <n v="31"/>
    <x v="89"/>
    <n v="136.89599999999999"/>
  </r>
  <r>
    <n v="1106"/>
    <x v="52"/>
    <n v="10"/>
    <x v="8"/>
    <s v="123 10th Street"/>
    <x v="7"/>
    <x v="7"/>
    <n v="99999"/>
    <s v="USA"/>
    <x v="6"/>
    <x v="1"/>
    <n v="41771"/>
    <s v="Shipping Company A"/>
    <s v="Roland Wacker"/>
    <s v="123 10th Street"/>
    <s v="Chicago"/>
    <s v="IL"/>
    <n v="99999"/>
    <s v="USA"/>
    <x v="3"/>
    <x v="11"/>
    <x v="6"/>
    <n v="25"/>
    <n v="52"/>
    <x v="90"/>
    <n v="123.5"/>
  </r>
  <r>
    <n v="1107"/>
    <x v="52"/>
    <n v="10"/>
    <x v="8"/>
    <s v="123 10th Street"/>
    <x v="7"/>
    <x v="7"/>
    <n v="99999"/>
    <s v="USA"/>
    <x v="6"/>
    <x v="1"/>
    <n v="41771"/>
    <s v="Shipping Company A"/>
    <s v="Roland Wacker"/>
    <s v="123 10th Street"/>
    <s v="Chicago"/>
    <s v="IL"/>
    <n v="99999"/>
    <s v="USA"/>
    <x v="3"/>
    <x v="12"/>
    <x v="7"/>
    <n v="22"/>
    <n v="30"/>
    <x v="91"/>
    <n v="67.320000000000007"/>
  </r>
  <r>
    <n v="1108"/>
    <x v="52"/>
    <n v="10"/>
    <x v="8"/>
    <s v="123 10th Street"/>
    <x v="7"/>
    <x v="7"/>
    <n v="99999"/>
    <s v="USA"/>
    <x v="6"/>
    <x v="1"/>
    <d v="2014-05-12T00:00:00"/>
    <s v="Shipping Company A"/>
    <s v="Roland Wacker"/>
    <s v="123 10th Street"/>
    <s v="Chicago"/>
    <s v="IL"/>
    <n v="99999"/>
    <s v="USA"/>
    <x v="3"/>
    <x v="6"/>
    <x v="2"/>
    <n v="9.1999999999999993"/>
    <n v="41"/>
    <x v="92"/>
    <n v="38.474400000000003"/>
  </r>
  <r>
    <n v="1109"/>
    <x v="54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1"/>
    <x v="1"/>
    <n v="3.5"/>
    <n v="44"/>
    <x v="93"/>
    <n v="15.246"/>
  </r>
  <r>
    <n v="1110"/>
    <x v="54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10"/>
    <x v="0"/>
    <n v="2.99"/>
    <n v="77"/>
    <x v="94"/>
    <n v="23.023000000000003"/>
  </r>
  <r>
    <n v="1111"/>
    <x v="55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4"/>
    <x v="0"/>
    <n v="18"/>
    <n v="29"/>
    <x v="95"/>
    <n v="52.722000000000001"/>
  </r>
  <r>
    <n v="1112"/>
    <x v="55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5"/>
    <x v="0"/>
    <n v="46"/>
    <n v="77"/>
    <x v="96"/>
    <n v="368.36800000000005"/>
  </r>
  <r>
    <n v="1113"/>
    <x v="55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10"/>
    <x v="0"/>
    <n v="2.99"/>
    <n v="73"/>
    <x v="97"/>
    <n v="21.827000000000002"/>
  </r>
  <r>
    <n v="1114"/>
    <x v="50"/>
    <n v="28"/>
    <x v="7"/>
    <s v="789 28th Street"/>
    <x v="6"/>
    <x v="6"/>
    <n v="99999"/>
    <s v="USA"/>
    <x v="5"/>
    <x v="3"/>
    <n v="41789"/>
    <s v="Shipping Company C"/>
    <s v="Amritansh Raghav"/>
    <s v="789 28th Street"/>
    <s v="Memphis"/>
    <s v="TN"/>
    <n v="99999"/>
    <s v="USA"/>
    <x v="1"/>
    <x v="8"/>
    <x v="4"/>
    <n v="9.65"/>
    <n v="74"/>
    <x v="98"/>
    <n v="67.839500000000001"/>
  </r>
  <r>
    <n v="1115"/>
    <x v="50"/>
    <n v="28"/>
    <x v="7"/>
    <s v="789 28th Street"/>
    <x v="6"/>
    <x v="6"/>
    <n v="99999"/>
    <s v="USA"/>
    <x v="5"/>
    <x v="3"/>
    <d v="2014-05-30T00:00:00"/>
    <s v="Shipping Company C"/>
    <s v="Amritansh Raghav"/>
    <s v="789 28th Street"/>
    <s v="Memphis"/>
    <s v="TN"/>
    <n v="99999"/>
    <s v="USA"/>
    <x v="1"/>
    <x v="13"/>
    <x v="8"/>
    <n v="18.399999999999999"/>
    <n v="25"/>
    <x v="99"/>
    <n v="46.46"/>
  </r>
  <r>
    <n v="1116"/>
    <x v="56"/>
    <n v="9"/>
    <x v="12"/>
    <s v="123 9th Street"/>
    <x v="11"/>
    <x v="11"/>
    <n v="99999"/>
    <s v="USA"/>
    <x v="7"/>
    <x v="0"/>
    <d v="2014-05-11T00:00:00"/>
    <s v="Shipping Company A"/>
    <s v="Sven Mortensen"/>
    <s v="123 9th Street"/>
    <s v="Salt Lake City"/>
    <s v="UT"/>
    <n v="99999"/>
    <s v="USA"/>
    <x v="0"/>
    <x v="14"/>
    <x v="9"/>
    <n v="19.5"/>
    <n v="82"/>
    <x v="100"/>
    <n v="153.50399999999999"/>
  </r>
  <r>
    <n v="1117"/>
    <x v="56"/>
    <n v="9"/>
    <x v="12"/>
    <s v="123 9th Street"/>
    <x v="11"/>
    <x v="11"/>
    <n v="99999"/>
    <s v="USA"/>
    <x v="7"/>
    <x v="0"/>
    <d v="2014-05-11T00:00:00"/>
    <s v="Shipping Company A"/>
    <s v="Sven Mortensen"/>
    <s v="123 9th Street"/>
    <s v="Salt Lake City"/>
    <s v="UT"/>
    <n v="99999"/>
    <s v="USA"/>
    <x v="0"/>
    <x v="15"/>
    <x v="10"/>
    <n v="34.799999999999997"/>
    <n v="37"/>
    <x v="101"/>
    <n v="132.62279999999998"/>
  </r>
  <r>
    <n v="1118"/>
    <x v="49"/>
    <n v="6"/>
    <x v="6"/>
    <s v="123 6th Street"/>
    <x v="5"/>
    <x v="5"/>
    <n v="99999"/>
    <s v="USA"/>
    <x v="4"/>
    <x v="2"/>
    <n v="41767"/>
    <s v="Shipping Company B"/>
    <s v="Francisco Pérez-Olaeta"/>
    <s v="123 6th Street"/>
    <s v="Milwaukee"/>
    <s v="WI"/>
    <n v="99999"/>
    <s v="USA"/>
    <x v="1"/>
    <x v="0"/>
    <x v="0"/>
    <n v="14"/>
    <n v="84"/>
    <x v="102"/>
    <n v="112.896"/>
  </r>
  <r>
    <n v="1119"/>
    <x v="51"/>
    <n v="8"/>
    <x v="3"/>
    <s v="123 8th Street"/>
    <x v="2"/>
    <x v="2"/>
    <n v="99999"/>
    <s v="USA"/>
    <x v="2"/>
    <x v="2"/>
    <n v="41769"/>
    <s v="Shipping Company B"/>
    <s v="Elizabeth Andersen"/>
    <s v="123 8th Street"/>
    <s v="Portland"/>
    <s v="OR"/>
    <n v="99999"/>
    <s v="USA"/>
    <x v="0"/>
    <x v="9"/>
    <x v="5"/>
    <n v="40"/>
    <n v="73"/>
    <x v="103"/>
    <n v="283.24"/>
  </r>
  <r>
    <n v="1120"/>
    <x v="51"/>
    <n v="8"/>
    <x v="3"/>
    <s v="123 8th Street"/>
    <x v="2"/>
    <x v="2"/>
    <n v="99999"/>
    <s v="USA"/>
    <x v="2"/>
    <x v="2"/>
    <n v="41769"/>
    <s v="Shipping Company B"/>
    <s v="Elizabeth Andersen"/>
    <s v="123 8th Street"/>
    <s v="Portland"/>
    <s v="OR"/>
    <n v="99999"/>
    <s v="USA"/>
    <x v="0"/>
    <x v="6"/>
    <x v="2"/>
    <n v="9.1999999999999993"/>
    <n v="51"/>
    <x v="104"/>
    <n v="44.573999999999998"/>
  </r>
  <r>
    <n v="1121"/>
    <x v="57"/>
    <n v="25"/>
    <x v="13"/>
    <s v="789 25th Street"/>
    <x v="7"/>
    <x v="7"/>
    <n v="99999"/>
    <s v="USA"/>
    <x v="6"/>
    <x v="1"/>
    <n v="41786"/>
    <s v="Shipping Company A"/>
    <s v="John Rodman"/>
    <s v="789 25th Street"/>
    <s v="Chicago"/>
    <s v="IL"/>
    <n v="99999"/>
    <s v="USA"/>
    <x v="2"/>
    <x v="21"/>
    <x v="2"/>
    <n v="10"/>
    <n v="66"/>
    <x v="91"/>
    <n v="68.64"/>
  </r>
  <r>
    <n v="1122"/>
    <x v="58"/>
    <n v="26"/>
    <x v="14"/>
    <s v="789 26th Street"/>
    <x v="9"/>
    <x v="9"/>
    <n v="99999"/>
    <s v="USA"/>
    <x v="5"/>
    <x v="3"/>
    <n v="41787"/>
    <s v="Shipping Company C"/>
    <s v="Run Liu"/>
    <s v="789 26th Street"/>
    <s v="Miami"/>
    <s v="FL"/>
    <n v="99999"/>
    <s v="USA"/>
    <x v="1"/>
    <x v="22"/>
    <x v="13"/>
    <n v="21.35"/>
    <n v="36"/>
    <x v="105"/>
    <n v="74.554200000000009"/>
  </r>
  <r>
    <n v="1123"/>
    <x v="58"/>
    <n v="26"/>
    <x v="14"/>
    <s v="789 26th Street"/>
    <x v="9"/>
    <x v="9"/>
    <n v="99999"/>
    <s v="USA"/>
    <x v="5"/>
    <x v="3"/>
    <d v="2014-05-28T00:00:00"/>
    <s v="Shipping Company C"/>
    <s v="Run Liu"/>
    <s v="789 26th Street"/>
    <s v="Miami"/>
    <s v="FL"/>
    <n v="99999"/>
    <s v="USA"/>
    <x v="1"/>
    <x v="8"/>
    <x v="4"/>
    <n v="9.65"/>
    <n v="87"/>
    <x v="106"/>
    <n v="87.313200000000009"/>
  </r>
  <r>
    <n v="1124"/>
    <x v="58"/>
    <n v="26"/>
    <x v="14"/>
    <s v="789 26th Street"/>
    <x v="9"/>
    <x v="9"/>
    <n v="99999"/>
    <s v="USA"/>
    <x v="5"/>
    <x v="3"/>
    <d v="2014-05-28T00:00:00"/>
    <s v="Shipping Company C"/>
    <s v="Run Liu"/>
    <s v="789 26th Street"/>
    <s v="Miami"/>
    <s v="FL"/>
    <n v="99999"/>
    <s v="USA"/>
    <x v="1"/>
    <x v="13"/>
    <x v="8"/>
    <n v="18.399999999999999"/>
    <n v="64"/>
    <x v="107"/>
    <n v="115.40479999999999"/>
  </r>
  <r>
    <n v="1125"/>
    <x v="47"/>
    <n v="29"/>
    <x v="4"/>
    <s v="789 29th Street"/>
    <x v="3"/>
    <x v="3"/>
    <n v="99999"/>
    <s v="USA"/>
    <x v="3"/>
    <x v="0"/>
    <d v="2014-05-31T00:00:00"/>
    <s v="Shipping Company B"/>
    <s v="Soo Jung Lee"/>
    <s v="789 29th Street"/>
    <s v="Denver"/>
    <s v="CO"/>
    <n v="99999"/>
    <s v="USA"/>
    <x v="0"/>
    <x v="0"/>
    <x v="0"/>
    <n v="14"/>
    <n v="21"/>
    <x v="108"/>
    <n v="30.870000000000005"/>
  </r>
  <r>
    <n v="1126"/>
    <x v="49"/>
    <n v="6"/>
    <x v="6"/>
    <s v="123 6th Street"/>
    <x v="5"/>
    <x v="5"/>
    <n v="99999"/>
    <s v="USA"/>
    <x v="4"/>
    <x v="2"/>
    <d v="2014-05-08T00:00:00"/>
    <s v="Shipping Company C"/>
    <s v="Francisco Pérez-Olaeta"/>
    <s v="123 6th Street"/>
    <s v="Milwaukee"/>
    <s v="WI"/>
    <n v="99999"/>
    <s v="USA"/>
    <x v="0"/>
    <x v="7"/>
    <x v="3"/>
    <n v="12.75"/>
    <n v="19"/>
    <x v="109"/>
    <n v="24.46725"/>
  </r>
  <r>
    <n v="1128"/>
    <x v="59"/>
    <n v="4"/>
    <x v="1"/>
    <s v="123 4th Street"/>
    <x v="1"/>
    <x v="1"/>
    <n v="99999"/>
    <s v="USA"/>
    <x v="1"/>
    <x v="1"/>
    <d v="2014-05-06T00:00:00"/>
    <s v="Shipping Company A"/>
    <s v="Christina Lee"/>
    <s v="123 4th Street"/>
    <s v="New York"/>
    <s v="NY"/>
    <n v="99999"/>
    <s v="USA"/>
    <x v="1"/>
    <x v="23"/>
    <x v="6"/>
    <n v="81"/>
    <n v="23"/>
    <x v="110"/>
    <n v="195.61500000000001"/>
  </r>
  <r>
    <n v="1129"/>
    <x v="59"/>
    <n v="4"/>
    <x v="1"/>
    <s v="123 4th Street"/>
    <x v="1"/>
    <x v="1"/>
    <n v="99999"/>
    <s v="USA"/>
    <x v="1"/>
    <x v="1"/>
    <d v="2014-05-06T00:00:00"/>
    <s v="Shipping Company A"/>
    <s v="Christina Lee"/>
    <s v="123 4th Street"/>
    <s v="New York"/>
    <s v="NY"/>
    <n v="99999"/>
    <s v="USA"/>
    <x v="1"/>
    <x v="24"/>
    <x v="14"/>
    <n v="7"/>
    <n v="72"/>
    <x v="111"/>
    <n v="51.912000000000006"/>
  </r>
  <r>
    <n v="1131"/>
    <x v="51"/>
    <n v="8"/>
    <x v="3"/>
    <s v="123 8th Street"/>
    <x v="2"/>
    <x v="2"/>
    <n v="99999"/>
    <s v="USA"/>
    <x v="2"/>
    <x v="2"/>
    <d v="2014-05-10T00:00:00"/>
    <s v="Shipping Company C"/>
    <s v="Elizabeth Andersen"/>
    <s v="123 8th Street"/>
    <s v="Portland"/>
    <s v="OR"/>
    <n v="99999"/>
    <s v="USA"/>
    <x v="1"/>
    <x v="15"/>
    <x v="10"/>
    <n v="34.799999999999997"/>
    <n v="22"/>
    <x v="112"/>
    <n v="75.02879999999999"/>
  </r>
  <r>
    <n v="1134"/>
    <x v="48"/>
    <n v="3"/>
    <x v="5"/>
    <s v="123 3rd Street"/>
    <x v="4"/>
    <x v="4"/>
    <n v="99999"/>
    <s v="USA"/>
    <x v="0"/>
    <x v="0"/>
    <d v="2014-05-05T00:00:00"/>
    <s v="Shipping Company B"/>
    <s v="Thomas Axerr"/>
    <s v="123 3rd Street"/>
    <s v="Los Angelas"/>
    <s v="CA"/>
    <n v="99999"/>
    <s v="USA"/>
    <x v="2"/>
    <x v="16"/>
    <x v="7"/>
    <n v="10"/>
    <n v="82"/>
    <x v="113"/>
    <n v="85.28"/>
  </r>
  <r>
    <n v="1135"/>
    <x v="48"/>
    <n v="3"/>
    <x v="5"/>
    <s v="123 3rd Street"/>
    <x v="4"/>
    <x v="4"/>
    <n v="99999"/>
    <s v="USA"/>
    <x v="0"/>
    <x v="0"/>
    <d v="2014-05-05T00:00:00"/>
    <s v="Shipping Company B"/>
    <s v="Thomas Axerr"/>
    <s v="123 3rd Street"/>
    <s v="Los Angelas"/>
    <s v="CA"/>
    <n v="99999"/>
    <s v="USA"/>
    <x v="2"/>
    <x v="9"/>
    <x v="5"/>
    <n v="40"/>
    <n v="98"/>
    <x v="114"/>
    <n v="411.6"/>
  </r>
  <r>
    <n v="1138"/>
    <x v="60"/>
    <n v="7"/>
    <x v="9"/>
    <s v="123 7th Street"/>
    <x v="8"/>
    <x v="8"/>
    <n v="99999"/>
    <s v="USA"/>
    <x v="2"/>
    <x v="2"/>
    <m/>
    <m/>
    <s v="Ming-Yang Xie"/>
    <s v="123 7th Street"/>
    <s v="Boise"/>
    <s v="ID"/>
    <n v="99999"/>
    <s v="USA"/>
    <x v="3"/>
    <x v="5"/>
    <x v="0"/>
    <n v="46"/>
    <n v="71"/>
    <x v="115"/>
    <n v="310.27"/>
  </r>
  <r>
    <n v="1139"/>
    <x v="61"/>
    <n v="10"/>
    <x v="8"/>
    <s v="123 10th Street"/>
    <x v="7"/>
    <x v="7"/>
    <n v="99999"/>
    <s v="USA"/>
    <x v="6"/>
    <x v="1"/>
    <d v="2014-06-12T00:00:00"/>
    <s v="Shipping Company A"/>
    <s v="Roland Wacker"/>
    <s v="123 10th Street"/>
    <s v="Chicago"/>
    <s v="IL"/>
    <n v="99999"/>
    <s v="USA"/>
    <x v="3"/>
    <x v="11"/>
    <x v="6"/>
    <n v="25"/>
    <n v="40"/>
    <x v="116"/>
    <n v="105"/>
  </r>
  <r>
    <n v="1140"/>
    <x v="61"/>
    <n v="10"/>
    <x v="8"/>
    <s v="123 10th Street"/>
    <x v="7"/>
    <x v="7"/>
    <n v="99999"/>
    <s v="USA"/>
    <x v="6"/>
    <x v="1"/>
    <d v="2014-06-12T00:00:00"/>
    <s v="Shipping Company A"/>
    <s v="Roland Wacker"/>
    <s v="123 10th Street"/>
    <s v="Chicago"/>
    <s v="IL"/>
    <n v="99999"/>
    <s v="USA"/>
    <x v="3"/>
    <x v="12"/>
    <x v="7"/>
    <n v="22"/>
    <n v="80"/>
    <x v="117"/>
    <n v="172.48"/>
  </r>
  <r>
    <n v="1141"/>
    <x v="61"/>
    <n v="10"/>
    <x v="8"/>
    <s v="123 10th Street"/>
    <x v="7"/>
    <x v="7"/>
    <n v="99999"/>
    <s v="USA"/>
    <x v="6"/>
    <x v="1"/>
    <d v="2014-06-12T00:00:00"/>
    <s v="Shipping Company A"/>
    <s v="Roland Wacker"/>
    <s v="123 10th Street"/>
    <s v="Chicago"/>
    <s v="IL"/>
    <n v="99999"/>
    <s v="USA"/>
    <x v="3"/>
    <x v="6"/>
    <x v="2"/>
    <n v="9.1999999999999993"/>
    <n v="38"/>
    <x v="7"/>
    <n v="33.211999999999996"/>
  </r>
  <r>
    <n v="1142"/>
    <x v="62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1"/>
    <x v="1"/>
    <n v="3.5"/>
    <n v="28"/>
    <x v="118"/>
    <n v="10.290000000000001"/>
  </r>
  <r>
    <n v="1143"/>
    <x v="62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10"/>
    <x v="0"/>
    <n v="2.99"/>
    <n v="60"/>
    <x v="119"/>
    <n v="17.581200000000003"/>
  </r>
  <r>
    <n v="1144"/>
    <x v="63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4"/>
    <x v="0"/>
    <n v="18"/>
    <n v="33"/>
    <x v="120"/>
    <n v="58.212000000000003"/>
  </r>
  <r>
    <n v="1145"/>
    <x v="63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5"/>
    <x v="0"/>
    <n v="46"/>
    <n v="22"/>
    <x v="121"/>
    <n v="101.2"/>
  </r>
  <r>
    <n v="1146"/>
    <x v="63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10"/>
    <x v="0"/>
    <n v="2.99"/>
    <n v="51"/>
    <x v="122"/>
    <n v="14.944020000000002"/>
  </r>
  <r>
    <n v="1147"/>
    <x v="64"/>
    <n v="28"/>
    <x v="7"/>
    <s v="789 28th Street"/>
    <x v="6"/>
    <x v="6"/>
    <n v="99999"/>
    <s v="USA"/>
    <x v="5"/>
    <x v="3"/>
    <d v="2014-06-30T00:00:00"/>
    <s v="Shipping Company C"/>
    <s v="Amritansh Raghav"/>
    <s v="789 28th Street"/>
    <s v="Memphis"/>
    <s v="TN"/>
    <n v="99999"/>
    <s v="USA"/>
    <x v="1"/>
    <x v="8"/>
    <x v="4"/>
    <n v="9.65"/>
    <n v="60"/>
    <x v="123"/>
    <n v="57.321000000000005"/>
  </r>
  <r>
    <n v="1148"/>
    <x v="64"/>
    <n v="28"/>
    <x v="7"/>
    <s v="789 28th Street"/>
    <x v="6"/>
    <x v="6"/>
    <n v="99999"/>
    <s v="USA"/>
    <x v="5"/>
    <x v="3"/>
    <d v="2014-06-30T00:00:00"/>
    <s v="Shipping Company C"/>
    <s v="Amritansh Raghav"/>
    <s v="789 28th Street"/>
    <s v="Memphis"/>
    <s v="TN"/>
    <n v="99999"/>
    <s v="USA"/>
    <x v="1"/>
    <x v="13"/>
    <x v="8"/>
    <n v="18.399999999999999"/>
    <n v="98"/>
    <x v="124"/>
    <n v="183.9264"/>
  </r>
  <r>
    <n v="1149"/>
    <x v="65"/>
    <n v="9"/>
    <x v="12"/>
    <s v="123 9th Street"/>
    <x v="11"/>
    <x v="11"/>
    <n v="99999"/>
    <s v="USA"/>
    <x v="7"/>
    <x v="0"/>
    <d v="2014-06-11T00:00:00"/>
    <s v="Shipping Company A"/>
    <s v="Sven Mortensen"/>
    <s v="123 9th Street"/>
    <s v="Salt Lake City"/>
    <s v="UT"/>
    <n v="99999"/>
    <s v="USA"/>
    <x v="0"/>
    <x v="14"/>
    <x v="9"/>
    <n v="19.5"/>
    <n v="27"/>
    <x v="125"/>
    <n v="51.070500000000003"/>
  </r>
  <r>
    <n v="1150"/>
    <x v="65"/>
    <n v="9"/>
    <x v="12"/>
    <s v="123 9th Street"/>
    <x v="11"/>
    <x v="11"/>
    <n v="99999"/>
    <s v="USA"/>
    <x v="7"/>
    <x v="0"/>
    <d v="2014-06-11T00:00:00"/>
    <s v="Shipping Company A"/>
    <s v="Sven Mortensen"/>
    <s v="123 9th Street"/>
    <s v="Salt Lake City"/>
    <s v="UT"/>
    <n v="99999"/>
    <s v="USA"/>
    <x v="0"/>
    <x v="15"/>
    <x v="10"/>
    <n v="34.799999999999997"/>
    <n v="88"/>
    <x v="126"/>
    <n v="303.17759999999993"/>
  </r>
  <r>
    <n v="1151"/>
    <x v="66"/>
    <n v="6"/>
    <x v="6"/>
    <s v="123 6th Street"/>
    <x v="5"/>
    <x v="5"/>
    <n v="99999"/>
    <s v="USA"/>
    <x v="4"/>
    <x v="2"/>
    <d v="2014-06-08T00:00:00"/>
    <s v="Shipping Company B"/>
    <s v="Francisco Pérez-Olaeta"/>
    <s v="123 6th Street"/>
    <s v="Milwaukee"/>
    <s v="WI"/>
    <n v="99999"/>
    <s v="USA"/>
    <x v="1"/>
    <x v="0"/>
    <x v="0"/>
    <n v="14"/>
    <n v="65"/>
    <x v="127"/>
    <n v="95.55"/>
  </r>
  <r>
    <n v="1152"/>
    <x v="67"/>
    <n v="8"/>
    <x v="3"/>
    <s v="123 8th Street"/>
    <x v="2"/>
    <x v="2"/>
    <n v="99999"/>
    <s v="USA"/>
    <x v="2"/>
    <x v="2"/>
    <d v="2014-06-10T00:00:00"/>
    <s v="Shipping Company B"/>
    <s v="Elizabeth Andersen"/>
    <s v="123 8th Street"/>
    <s v="Portland"/>
    <s v="OR"/>
    <n v="99999"/>
    <s v="USA"/>
    <x v="0"/>
    <x v="9"/>
    <x v="5"/>
    <n v="40"/>
    <n v="38"/>
    <x v="128"/>
    <n v="148.96"/>
  </r>
  <r>
    <n v="1153"/>
    <x v="67"/>
    <n v="8"/>
    <x v="3"/>
    <s v="123 8th Street"/>
    <x v="2"/>
    <x v="2"/>
    <n v="99999"/>
    <s v="USA"/>
    <x v="2"/>
    <x v="2"/>
    <n v="41800"/>
    <s v="Shipping Company B"/>
    <s v="Elizabeth Andersen"/>
    <s v="123 8th Street"/>
    <s v="Portland"/>
    <s v="OR"/>
    <n v="99999"/>
    <s v="USA"/>
    <x v="0"/>
    <x v="6"/>
    <x v="2"/>
    <n v="9.1999999999999993"/>
    <n v="80"/>
    <x v="129"/>
    <n v="70.656000000000006"/>
  </r>
  <r>
    <n v="1154"/>
    <x v="68"/>
    <n v="25"/>
    <x v="13"/>
    <s v="789 25th Street"/>
    <x v="7"/>
    <x v="7"/>
    <n v="99999"/>
    <s v="USA"/>
    <x v="6"/>
    <x v="1"/>
    <d v="2014-06-27T00:00:00"/>
    <s v="Shipping Company A"/>
    <s v="John Rodman"/>
    <s v="789 25th Street"/>
    <s v="Chicago"/>
    <s v="IL"/>
    <n v="99999"/>
    <s v="USA"/>
    <x v="2"/>
    <x v="21"/>
    <x v="2"/>
    <n v="10"/>
    <n v="49"/>
    <x v="130"/>
    <n v="47.04"/>
  </r>
  <r>
    <n v="1155"/>
    <x v="69"/>
    <n v="26"/>
    <x v="14"/>
    <s v="789 26th Street"/>
    <x v="9"/>
    <x v="9"/>
    <n v="99999"/>
    <s v="USA"/>
    <x v="5"/>
    <x v="3"/>
    <d v="2014-06-28T00:00:00"/>
    <s v="Shipping Company C"/>
    <s v="Run Liu"/>
    <s v="789 26th Street"/>
    <s v="Miami"/>
    <s v="FL"/>
    <n v="99999"/>
    <s v="USA"/>
    <x v="1"/>
    <x v="22"/>
    <x v="13"/>
    <n v="21.35"/>
    <n v="90"/>
    <x v="131"/>
    <n v="186.38550000000004"/>
  </r>
  <r>
    <n v="1156"/>
    <x v="69"/>
    <n v="26"/>
    <x v="14"/>
    <s v="789 26th Street"/>
    <x v="9"/>
    <x v="9"/>
    <n v="99999"/>
    <s v="USA"/>
    <x v="5"/>
    <x v="3"/>
    <d v="2014-06-28T00:00:00"/>
    <s v="Shipping Company C"/>
    <s v="Run Liu"/>
    <s v="789 26th Street"/>
    <s v="Miami"/>
    <s v="FL"/>
    <n v="99999"/>
    <s v="USA"/>
    <x v="1"/>
    <x v="8"/>
    <x v="4"/>
    <n v="9.65"/>
    <n v="60"/>
    <x v="123"/>
    <n v="59.637000000000008"/>
  </r>
  <r>
    <n v="1157"/>
    <x v="69"/>
    <n v="26"/>
    <x v="14"/>
    <s v="789 26th Street"/>
    <x v="9"/>
    <x v="9"/>
    <n v="99999"/>
    <s v="USA"/>
    <x v="5"/>
    <x v="3"/>
    <n v="41818"/>
    <s v="Shipping Company C"/>
    <s v="Run Liu"/>
    <s v="789 26th Street"/>
    <s v="Miami"/>
    <s v="FL"/>
    <n v="99999"/>
    <s v="USA"/>
    <x v="1"/>
    <x v="13"/>
    <x v="8"/>
    <n v="18.399999999999999"/>
    <n v="39"/>
    <x v="132"/>
    <n v="71.759999999999991"/>
  </r>
  <r>
    <n v="1158"/>
    <x v="70"/>
    <n v="29"/>
    <x v="4"/>
    <s v="789 29th Street"/>
    <x v="3"/>
    <x v="3"/>
    <n v="99999"/>
    <s v="USA"/>
    <x v="3"/>
    <x v="0"/>
    <n v="41821"/>
    <s v="Shipping Company B"/>
    <s v="Soo Jung Lee"/>
    <s v="789 29th Street"/>
    <s v="Denver"/>
    <s v="CO"/>
    <n v="99999"/>
    <s v="USA"/>
    <x v="0"/>
    <x v="0"/>
    <x v="0"/>
    <n v="14"/>
    <n v="79"/>
    <x v="133"/>
    <n v="113.91800000000001"/>
  </r>
  <r>
    <n v="1159"/>
    <x v="66"/>
    <n v="6"/>
    <x v="6"/>
    <s v="123 6th Street"/>
    <x v="5"/>
    <x v="5"/>
    <n v="99999"/>
    <s v="USA"/>
    <x v="4"/>
    <x v="2"/>
    <n v="41798"/>
    <s v="Shipping Company C"/>
    <s v="Francisco Pérez-Olaeta"/>
    <s v="123 6th Street"/>
    <s v="Milwaukee"/>
    <s v="WI"/>
    <n v="99999"/>
    <s v="USA"/>
    <x v="0"/>
    <x v="7"/>
    <x v="3"/>
    <n v="12.75"/>
    <n v="44"/>
    <x v="134"/>
    <n v="57.222000000000001"/>
  </r>
  <r>
    <n v="1161"/>
    <x v="71"/>
    <n v="4"/>
    <x v="1"/>
    <s v="123 4th Street"/>
    <x v="1"/>
    <x v="1"/>
    <n v="99999"/>
    <s v="USA"/>
    <x v="1"/>
    <x v="1"/>
    <n v="41796"/>
    <s v="Shipping Company A"/>
    <s v="Christina Lee"/>
    <s v="123 4th Street"/>
    <s v="New York"/>
    <s v="NY"/>
    <n v="99999"/>
    <s v="USA"/>
    <x v="1"/>
    <x v="23"/>
    <x v="6"/>
    <n v="81"/>
    <n v="98"/>
    <x v="135"/>
    <n v="769.98599999999999"/>
  </r>
  <r>
    <n v="1162"/>
    <x v="71"/>
    <n v="4"/>
    <x v="1"/>
    <s v="123 4th Street"/>
    <x v="1"/>
    <x v="1"/>
    <n v="99999"/>
    <s v="USA"/>
    <x v="1"/>
    <x v="1"/>
    <n v="41796"/>
    <s v="Shipping Company A"/>
    <s v="Christina Lee"/>
    <s v="123 4th Street"/>
    <s v="New York"/>
    <s v="NY"/>
    <n v="99999"/>
    <s v="USA"/>
    <x v="1"/>
    <x v="24"/>
    <x v="14"/>
    <n v="7"/>
    <n v="61"/>
    <x v="136"/>
    <n v="42.273000000000003"/>
  </r>
  <r>
    <n v="1164"/>
    <x v="67"/>
    <n v="8"/>
    <x v="3"/>
    <s v="123 8th Street"/>
    <x v="2"/>
    <x v="2"/>
    <n v="99999"/>
    <s v="USA"/>
    <x v="2"/>
    <x v="2"/>
    <d v="2014-06-10T00:00:00"/>
    <s v="Shipping Company C"/>
    <s v="Elizabeth Andersen"/>
    <s v="123 8th Street"/>
    <s v="Portland"/>
    <s v="OR"/>
    <n v="99999"/>
    <s v="USA"/>
    <x v="1"/>
    <x v="15"/>
    <x v="10"/>
    <n v="34.799999999999997"/>
    <n v="30"/>
    <x v="137"/>
    <n v="109.62"/>
  </r>
  <r>
    <n v="1167"/>
    <x v="72"/>
    <n v="3"/>
    <x v="5"/>
    <s v="123 3rd Street"/>
    <x v="4"/>
    <x v="4"/>
    <n v="99999"/>
    <s v="USA"/>
    <x v="0"/>
    <x v="0"/>
    <d v="2014-06-05T00:00:00"/>
    <s v="Shipping Company B"/>
    <s v="Thomas Axerr"/>
    <s v="123 3rd Street"/>
    <s v="Los Angelas"/>
    <s v="CA"/>
    <n v="99999"/>
    <s v="USA"/>
    <x v="2"/>
    <x v="16"/>
    <x v="7"/>
    <n v="10"/>
    <n v="24"/>
    <x v="138"/>
    <n v="25.200000000000003"/>
  </r>
  <r>
    <n v="1168"/>
    <x v="72"/>
    <n v="3"/>
    <x v="5"/>
    <s v="123 3rd Street"/>
    <x v="4"/>
    <x v="4"/>
    <n v="99999"/>
    <s v="USA"/>
    <x v="0"/>
    <x v="0"/>
    <d v="2014-06-05T00:00:00"/>
    <s v="Shipping Company B"/>
    <s v="Thomas Axerr"/>
    <s v="123 3rd Street"/>
    <s v="Los Angelas"/>
    <s v="CA"/>
    <n v="99999"/>
    <s v="USA"/>
    <x v="2"/>
    <x v="9"/>
    <x v="5"/>
    <n v="40"/>
    <n v="28"/>
    <x v="139"/>
    <n v="109.75999999999999"/>
  </r>
  <r>
    <n v="1172"/>
    <x v="61"/>
    <n v="10"/>
    <x v="8"/>
    <s v="123 10th Street"/>
    <x v="7"/>
    <x v="7"/>
    <n v="99999"/>
    <s v="USA"/>
    <x v="6"/>
    <x v="1"/>
    <d v="2014-06-12T00:00:00"/>
    <s v="Shipping Company B"/>
    <s v="Roland Wacker"/>
    <s v="123 10th Street"/>
    <s v="Chicago"/>
    <s v="IL"/>
    <n v="99999"/>
    <s v="USA"/>
    <x v="1"/>
    <x v="18"/>
    <x v="1"/>
    <n v="10"/>
    <n v="74"/>
    <x v="140"/>
    <n v="71.78"/>
  </r>
  <r>
    <n v="1174"/>
    <x v="61"/>
    <n v="10"/>
    <x v="8"/>
    <s v="123 10th Street"/>
    <x v="7"/>
    <x v="7"/>
    <n v="99999"/>
    <s v="USA"/>
    <x v="6"/>
    <x v="1"/>
    <m/>
    <s v="Shipping Company A"/>
    <s v="Roland Wacker"/>
    <s v="123 10th Street"/>
    <s v="Chicago"/>
    <s v="IL"/>
    <n v="99999"/>
    <s v="USA"/>
    <x v="3"/>
    <x v="1"/>
    <x v="1"/>
    <n v="3.5"/>
    <n v="90"/>
    <x v="141"/>
    <n v="30.24"/>
  </r>
  <r>
    <n v="1175"/>
    <x v="62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9"/>
    <x v="5"/>
    <n v="40"/>
    <n v="27"/>
    <x v="142"/>
    <n v="111.24000000000001"/>
  </r>
  <r>
    <n v="1176"/>
    <x v="63"/>
    <n v="1"/>
    <x v="11"/>
    <s v="123 1st Street"/>
    <x v="10"/>
    <x v="10"/>
    <n v="99999"/>
    <s v="USA"/>
    <x v="2"/>
    <x v="2"/>
    <m/>
    <s v="Shipping Company C"/>
    <s v="Anna Bedecs"/>
    <s v="123 1st Street"/>
    <s v="Seattle"/>
    <s v="WA"/>
    <n v="99999"/>
    <s v="USA"/>
    <x v="3"/>
    <x v="13"/>
    <x v="8"/>
    <n v="18.399999999999999"/>
    <n v="71"/>
    <x v="143"/>
    <n v="137.172"/>
  </r>
  <r>
    <n v="1177"/>
    <x v="64"/>
    <n v="28"/>
    <x v="7"/>
    <s v="789 28th Street"/>
    <x v="6"/>
    <x v="6"/>
    <n v="99999"/>
    <s v="USA"/>
    <x v="5"/>
    <x v="3"/>
    <d v="2014-06-30T00:00:00"/>
    <s v="Shipping Company C"/>
    <s v="Amritansh Raghav"/>
    <s v="789 28th Street"/>
    <s v="Memphis"/>
    <s v="TN"/>
    <n v="99999"/>
    <s v="USA"/>
    <x v="1"/>
    <x v="5"/>
    <x v="0"/>
    <n v="46"/>
    <n v="74"/>
    <x v="144"/>
    <n v="340.40000000000003"/>
  </r>
  <r>
    <n v="1178"/>
    <x v="65"/>
    <n v="9"/>
    <x v="12"/>
    <s v="123 9th Street"/>
    <x v="11"/>
    <x v="11"/>
    <n v="99999"/>
    <s v="USA"/>
    <x v="7"/>
    <x v="0"/>
    <d v="2014-06-11T00:00:00"/>
    <s v="Shipping Company A"/>
    <s v="Sven Mortensen"/>
    <s v="123 9th Street"/>
    <s v="Salt Lake City"/>
    <s v="UT"/>
    <n v="99999"/>
    <s v="USA"/>
    <x v="0"/>
    <x v="8"/>
    <x v="4"/>
    <n v="9.65"/>
    <n v="76"/>
    <x v="145"/>
    <n v="72.6066"/>
  </r>
  <r>
    <n v="1179"/>
    <x v="66"/>
    <n v="6"/>
    <x v="6"/>
    <s v="123 6th Street"/>
    <x v="5"/>
    <x v="5"/>
    <n v="99999"/>
    <s v="USA"/>
    <x v="4"/>
    <x v="2"/>
    <d v="2014-06-08T00:00:00"/>
    <s v="Shipping Company B"/>
    <s v="Francisco Pérez-Olaeta"/>
    <s v="123 6th Street"/>
    <s v="Milwaukee"/>
    <s v="WI"/>
    <n v="99999"/>
    <s v="USA"/>
    <x v="1"/>
    <x v="7"/>
    <x v="3"/>
    <n v="12.75"/>
    <n v="96"/>
    <x v="146"/>
    <n v="123.62400000000001"/>
  </r>
  <r>
    <n v="1180"/>
    <x v="67"/>
    <n v="8"/>
    <x v="3"/>
    <s v="123 8th Street"/>
    <x v="2"/>
    <x v="2"/>
    <n v="99999"/>
    <s v="USA"/>
    <x v="2"/>
    <x v="2"/>
    <d v="2014-06-10T00:00:00"/>
    <s v="Shipping Company B"/>
    <s v="Elizabeth Andersen"/>
    <s v="123 8th Street"/>
    <s v="Portland"/>
    <s v="OR"/>
    <n v="99999"/>
    <s v="USA"/>
    <x v="0"/>
    <x v="7"/>
    <x v="3"/>
    <n v="12.75"/>
    <n v="92"/>
    <x v="147"/>
    <n v="116.12700000000001"/>
  </r>
  <r>
    <n v="1181"/>
    <x v="68"/>
    <n v="25"/>
    <x v="13"/>
    <s v="789 25th Street"/>
    <x v="7"/>
    <x v="7"/>
    <n v="99999"/>
    <s v="USA"/>
    <x v="6"/>
    <x v="1"/>
    <d v="2014-06-27T00:00:00"/>
    <s v="Shipping Company A"/>
    <s v="John Rodman"/>
    <s v="789 25th Street"/>
    <s v="Chicago"/>
    <s v="IL"/>
    <n v="99999"/>
    <s v="USA"/>
    <x v="2"/>
    <x v="12"/>
    <x v="7"/>
    <n v="22"/>
    <n v="93"/>
    <x v="148"/>
    <n v="200.50800000000001"/>
  </r>
  <r>
    <n v="1182"/>
    <x v="69"/>
    <n v="26"/>
    <x v="14"/>
    <s v="789 26th Street"/>
    <x v="9"/>
    <x v="9"/>
    <n v="99999"/>
    <s v="USA"/>
    <x v="5"/>
    <x v="3"/>
    <d v="2014-06-28T00:00:00"/>
    <s v="Shipping Company C"/>
    <s v="Run Liu"/>
    <s v="789 26th Street"/>
    <s v="Miami"/>
    <s v="FL"/>
    <n v="99999"/>
    <s v="USA"/>
    <x v="1"/>
    <x v="11"/>
    <x v="6"/>
    <n v="25"/>
    <n v="18"/>
    <x v="149"/>
    <n v="42.75"/>
  </r>
  <r>
    <n v="1183"/>
    <x v="70"/>
    <n v="29"/>
    <x v="4"/>
    <s v="789 29th Street"/>
    <x v="3"/>
    <x v="3"/>
    <n v="99999"/>
    <s v="USA"/>
    <x v="3"/>
    <x v="0"/>
    <d v="2014-07-01T00:00:00"/>
    <s v="Shipping Company B"/>
    <s v="Soo Jung Lee"/>
    <s v="789 29th Street"/>
    <s v="Denver"/>
    <s v="CO"/>
    <n v="99999"/>
    <s v="USA"/>
    <x v="0"/>
    <x v="19"/>
    <x v="12"/>
    <n v="39"/>
    <n v="98"/>
    <x v="150"/>
    <n v="397.48800000000006"/>
  </r>
  <r>
    <n v="1184"/>
    <x v="66"/>
    <n v="6"/>
    <x v="6"/>
    <s v="123 6th Street"/>
    <x v="5"/>
    <x v="5"/>
    <n v="99999"/>
    <s v="USA"/>
    <x v="4"/>
    <x v="2"/>
    <d v="2014-06-08T00:00:00"/>
    <s v="Shipping Company C"/>
    <s v="Francisco Pérez-Olaeta"/>
    <s v="123 6th Street"/>
    <s v="Milwaukee"/>
    <s v="WI"/>
    <n v="99999"/>
    <s v="USA"/>
    <x v="0"/>
    <x v="2"/>
    <x v="1"/>
    <n v="30"/>
    <n v="46"/>
    <x v="65"/>
    <n v="135.24"/>
  </r>
  <r>
    <n v="1185"/>
    <x v="66"/>
    <n v="6"/>
    <x v="6"/>
    <s v="123 6th Street"/>
    <x v="5"/>
    <x v="5"/>
    <n v="99999"/>
    <s v="USA"/>
    <x v="4"/>
    <x v="2"/>
    <d v="2014-06-08T00:00:00"/>
    <s v="Shipping Company C"/>
    <s v="Francisco Pérez-Olaeta"/>
    <s v="123 6th Street"/>
    <s v="Milwaukee"/>
    <s v="WI"/>
    <n v="99999"/>
    <s v="USA"/>
    <x v="0"/>
    <x v="3"/>
    <x v="1"/>
    <n v="53"/>
    <n v="14"/>
    <x v="48"/>
    <n v="74.2"/>
  </r>
  <r>
    <n v="1186"/>
    <x v="71"/>
    <n v="4"/>
    <x v="1"/>
    <s v="123 4th Street"/>
    <x v="1"/>
    <x v="1"/>
    <n v="99999"/>
    <s v="USA"/>
    <x v="1"/>
    <x v="1"/>
    <m/>
    <m/>
    <s v="Christina Lee"/>
    <s v="123 4th Street"/>
    <s v="New York"/>
    <s v="NY"/>
    <n v="99999"/>
    <s v="USA"/>
    <x v="3"/>
    <x v="20"/>
    <x v="9"/>
    <n v="38"/>
    <n v="85"/>
    <x v="151"/>
    <n v="319.77"/>
  </r>
  <r>
    <n v="1187"/>
    <x v="72"/>
    <n v="3"/>
    <x v="5"/>
    <s v="123 3rd Street"/>
    <x v="4"/>
    <x v="4"/>
    <n v="99999"/>
    <s v="USA"/>
    <x v="0"/>
    <x v="0"/>
    <m/>
    <m/>
    <s v="Thomas Axerr"/>
    <s v="123 3rd Street"/>
    <s v="Los Angelas"/>
    <s v="CA"/>
    <n v="99999"/>
    <s v="USA"/>
    <x v="3"/>
    <x v="10"/>
    <x v="0"/>
    <n v="2.99"/>
    <n v="88"/>
    <x v="76"/>
    <n v="25.522639999999999"/>
  </r>
  <r>
    <n v="1188"/>
    <x v="73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10"/>
    <x v="0"/>
    <n v="2.99"/>
    <n v="81"/>
    <x v="152"/>
    <n v="23.976810000000004"/>
  </r>
  <r>
    <n v="1189"/>
    <x v="74"/>
    <n v="28"/>
    <x v="7"/>
    <s v="789 28th Street"/>
    <x v="6"/>
    <x v="6"/>
    <n v="99999"/>
    <s v="USA"/>
    <x v="5"/>
    <x v="3"/>
    <d v="2014-07-30T00:00:00"/>
    <s v="Shipping Company C"/>
    <s v="Amritansh Raghav"/>
    <s v="789 28th Street"/>
    <s v="Memphis"/>
    <s v="TN"/>
    <n v="99999"/>
    <s v="USA"/>
    <x v="1"/>
    <x v="8"/>
    <x v="4"/>
    <n v="9.65"/>
    <n v="33"/>
    <x v="153"/>
    <n v="30.252749999999999"/>
  </r>
  <r>
    <n v="1190"/>
    <x v="74"/>
    <n v="28"/>
    <x v="7"/>
    <s v="789 28th Street"/>
    <x v="6"/>
    <x v="6"/>
    <n v="99999"/>
    <s v="USA"/>
    <x v="5"/>
    <x v="3"/>
    <d v="2014-07-30T00:00:00"/>
    <s v="Shipping Company C"/>
    <s v="Amritansh Raghav"/>
    <s v="789 28th Street"/>
    <s v="Memphis"/>
    <s v="TN"/>
    <n v="99999"/>
    <s v="USA"/>
    <x v="1"/>
    <x v="13"/>
    <x v="8"/>
    <n v="18.399999999999999"/>
    <n v="47"/>
    <x v="154"/>
    <n v="90.804000000000002"/>
  </r>
  <r>
    <n v="1191"/>
    <x v="75"/>
    <n v="9"/>
    <x v="12"/>
    <s v="123 9th Street"/>
    <x v="11"/>
    <x v="11"/>
    <n v="99999"/>
    <s v="USA"/>
    <x v="7"/>
    <x v="0"/>
    <d v="2014-07-11T00:00:00"/>
    <s v="Shipping Company A"/>
    <s v="Sven Mortensen"/>
    <s v="123 9th Street"/>
    <s v="Salt Lake City"/>
    <s v="UT"/>
    <n v="99999"/>
    <s v="USA"/>
    <x v="0"/>
    <x v="14"/>
    <x v="9"/>
    <n v="19.5"/>
    <n v="61"/>
    <x v="155"/>
    <n v="123.70800000000001"/>
  </r>
  <r>
    <n v="1192"/>
    <x v="75"/>
    <n v="9"/>
    <x v="12"/>
    <s v="123 9th Street"/>
    <x v="11"/>
    <x v="11"/>
    <n v="99999"/>
    <s v="USA"/>
    <x v="7"/>
    <x v="0"/>
    <d v="2014-07-11T00:00:00"/>
    <s v="Shipping Company A"/>
    <s v="Sven Mortensen"/>
    <s v="123 9th Street"/>
    <s v="Salt Lake City"/>
    <s v="UT"/>
    <n v="99999"/>
    <s v="USA"/>
    <x v="0"/>
    <x v="15"/>
    <x v="10"/>
    <n v="34.799999999999997"/>
    <n v="27"/>
    <x v="156"/>
    <n v="95.839199999999991"/>
  </r>
  <r>
    <n v="1193"/>
    <x v="76"/>
    <n v="6"/>
    <x v="6"/>
    <s v="123 6th Street"/>
    <x v="5"/>
    <x v="5"/>
    <n v="99999"/>
    <s v="USA"/>
    <x v="4"/>
    <x v="2"/>
    <d v="2014-07-08T00:00:00"/>
    <s v="Shipping Company B"/>
    <s v="Francisco Pérez-Olaeta"/>
    <s v="123 6th Street"/>
    <s v="Milwaukee"/>
    <s v="WI"/>
    <n v="99999"/>
    <s v="USA"/>
    <x v="1"/>
    <x v="0"/>
    <x v="0"/>
    <n v="14"/>
    <n v="84"/>
    <x v="102"/>
    <n v="118.77600000000001"/>
  </r>
  <r>
    <n v="1194"/>
    <x v="77"/>
    <n v="8"/>
    <x v="3"/>
    <s v="123 8th Street"/>
    <x v="2"/>
    <x v="2"/>
    <n v="99999"/>
    <s v="USA"/>
    <x v="2"/>
    <x v="2"/>
    <d v="2014-07-10T00:00:00"/>
    <s v="Shipping Company B"/>
    <s v="Elizabeth Andersen"/>
    <s v="123 8th Street"/>
    <s v="Portland"/>
    <s v="OR"/>
    <n v="99999"/>
    <s v="USA"/>
    <x v="0"/>
    <x v="9"/>
    <x v="5"/>
    <n v="40"/>
    <n v="91"/>
    <x v="157"/>
    <n v="360.36"/>
  </r>
  <r>
    <n v="1195"/>
    <x v="77"/>
    <n v="8"/>
    <x v="3"/>
    <s v="123 8th Street"/>
    <x v="2"/>
    <x v="2"/>
    <n v="99999"/>
    <s v="USA"/>
    <x v="2"/>
    <x v="2"/>
    <d v="2014-07-10T00:00:00"/>
    <s v="Shipping Company B"/>
    <s v="Elizabeth Andersen"/>
    <s v="123 8th Street"/>
    <s v="Portland"/>
    <s v="OR"/>
    <n v="99999"/>
    <s v="USA"/>
    <x v="0"/>
    <x v="6"/>
    <x v="2"/>
    <n v="9.1999999999999993"/>
    <n v="36"/>
    <x v="158"/>
    <n v="34.444800000000001"/>
  </r>
  <r>
    <n v="1196"/>
    <x v="78"/>
    <n v="25"/>
    <x v="13"/>
    <s v="789 25th Street"/>
    <x v="7"/>
    <x v="7"/>
    <n v="99999"/>
    <s v="USA"/>
    <x v="6"/>
    <x v="1"/>
    <n v="41847"/>
    <s v="Shipping Company A"/>
    <s v="John Rodman"/>
    <s v="789 25th Street"/>
    <s v="Chicago"/>
    <s v="IL"/>
    <n v="99999"/>
    <s v="USA"/>
    <x v="2"/>
    <x v="21"/>
    <x v="2"/>
    <n v="10"/>
    <n v="34"/>
    <x v="159"/>
    <n v="34.340000000000003"/>
  </r>
  <r>
    <n v="1197"/>
    <x v="79"/>
    <n v="26"/>
    <x v="14"/>
    <s v="789 26th Street"/>
    <x v="9"/>
    <x v="9"/>
    <n v="99999"/>
    <s v="USA"/>
    <x v="5"/>
    <x v="3"/>
    <n v="41848"/>
    <s v="Shipping Company C"/>
    <s v="Run Liu"/>
    <s v="789 26th Street"/>
    <s v="Miami"/>
    <s v="FL"/>
    <n v="99999"/>
    <s v="USA"/>
    <x v="1"/>
    <x v="22"/>
    <x v="13"/>
    <n v="21.35"/>
    <n v="81"/>
    <x v="160"/>
    <n v="178.12305000000003"/>
  </r>
  <r>
    <n v="1198"/>
    <x v="79"/>
    <n v="26"/>
    <x v="14"/>
    <s v="789 26th Street"/>
    <x v="9"/>
    <x v="9"/>
    <n v="99999"/>
    <s v="USA"/>
    <x v="5"/>
    <x v="3"/>
    <n v="41848"/>
    <s v="Shipping Company C"/>
    <s v="Run Liu"/>
    <s v="789 26th Street"/>
    <s v="Miami"/>
    <s v="FL"/>
    <n v="99999"/>
    <s v="USA"/>
    <x v="1"/>
    <x v="8"/>
    <x v="4"/>
    <n v="9.65"/>
    <n v="25"/>
    <x v="161"/>
    <n v="23.401250000000001"/>
  </r>
  <r>
    <n v="1199"/>
    <x v="79"/>
    <n v="26"/>
    <x v="14"/>
    <s v="789 26th Street"/>
    <x v="9"/>
    <x v="9"/>
    <n v="99999"/>
    <s v="USA"/>
    <x v="5"/>
    <x v="3"/>
    <n v="41848"/>
    <s v="Shipping Company C"/>
    <s v="Run Liu"/>
    <s v="789 26th Street"/>
    <s v="Miami"/>
    <s v="FL"/>
    <n v="99999"/>
    <s v="USA"/>
    <x v="1"/>
    <x v="13"/>
    <x v="8"/>
    <n v="18.399999999999999"/>
    <n v="12"/>
    <x v="162"/>
    <n v="22.08"/>
  </r>
  <r>
    <n v="1200"/>
    <x v="80"/>
    <n v="29"/>
    <x v="4"/>
    <s v="789 29th Street"/>
    <x v="3"/>
    <x v="3"/>
    <n v="99999"/>
    <s v="USA"/>
    <x v="3"/>
    <x v="0"/>
    <d v="2014-07-31T00:00:00"/>
    <s v="Shipping Company B"/>
    <s v="Soo Jung Lee"/>
    <s v="789 29th Street"/>
    <s v="Denver"/>
    <s v="CO"/>
    <n v="99999"/>
    <s v="USA"/>
    <x v="0"/>
    <x v="0"/>
    <x v="0"/>
    <n v="14"/>
    <n v="23"/>
    <x v="163"/>
    <n v="30.912000000000003"/>
  </r>
  <r>
    <n v="1201"/>
    <x v="76"/>
    <n v="6"/>
    <x v="6"/>
    <s v="123 6th Street"/>
    <x v="5"/>
    <x v="5"/>
    <n v="99999"/>
    <s v="USA"/>
    <x v="4"/>
    <x v="2"/>
    <d v="2014-07-08T00:00:00"/>
    <s v="Shipping Company C"/>
    <s v="Francisco Pérez-Olaeta"/>
    <s v="123 6th Street"/>
    <s v="Milwaukee"/>
    <s v="WI"/>
    <n v="99999"/>
    <s v="USA"/>
    <x v="0"/>
    <x v="7"/>
    <x v="3"/>
    <n v="12.75"/>
    <n v="76"/>
    <x v="164"/>
    <n v="97.869"/>
  </r>
  <r>
    <n v="1203"/>
    <x v="81"/>
    <n v="4"/>
    <x v="1"/>
    <s v="123 4th Street"/>
    <x v="1"/>
    <x v="1"/>
    <n v="99999"/>
    <s v="USA"/>
    <x v="1"/>
    <x v="1"/>
    <d v="2014-07-06T00:00:00"/>
    <s v="Shipping Company A"/>
    <s v="Christina Lee"/>
    <s v="123 4th Street"/>
    <s v="New York"/>
    <s v="NY"/>
    <n v="99999"/>
    <s v="USA"/>
    <x v="1"/>
    <x v="23"/>
    <x v="6"/>
    <n v="81"/>
    <n v="55"/>
    <x v="165"/>
    <n v="445.5"/>
  </r>
  <r>
    <n v="1204"/>
    <x v="81"/>
    <n v="4"/>
    <x v="1"/>
    <s v="123 4th Street"/>
    <x v="1"/>
    <x v="1"/>
    <n v="99999"/>
    <s v="USA"/>
    <x v="1"/>
    <x v="1"/>
    <d v="2014-07-06T00:00:00"/>
    <s v="Shipping Company A"/>
    <s v="Christina Lee"/>
    <s v="123 4th Street"/>
    <s v="New York"/>
    <s v="NY"/>
    <n v="99999"/>
    <s v="USA"/>
    <x v="1"/>
    <x v="24"/>
    <x v="14"/>
    <n v="7"/>
    <n v="19"/>
    <x v="166"/>
    <n v="12.901"/>
  </r>
  <r>
    <n v="1206"/>
    <x v="77"/>
    <n v="8"/>
    <x v="3"/>
    <s v="123 8th Street"/>
    <x v="2"/>
    <x v="2"/>
    <n v="99999"/>
    <s v="USA"/>
    <x v="2"/>
    <x v="2"/>
    <d v="2014-07-10T00:00:00"/>
    <s v="Shipping Company C"/>
    <s v="Elizabeth Andersen"/>
    <s v="123 8th Street"/>
    <s v="Portland"/>
    <s v="OR"/>
    <n v="99999"/>
    <s v="USA"/>
    <x v="1"/>
    <x v="15"/>
    <x v="10"/>
    <n v="34.799999999999997"/>
    <n v="27"/>
    <x v="156"/>
    <n v="89.261999999999986"/>
  </r>
  <r>
    <n v="1209"/>
    <x v="82"/>
    <n v="3"/>
    <x v="5"/>
    <s v="123 3rd Street"/>
    <x v="4"/>
    <x v="4"/>
    <n v="99999"/>
    <s v="USA"/>
    <x v="0"/>
    <x v="0"/>
    <d v="2014-07-05T00:00:00"/>
    <s v="Shipping Company B"/>
    <s v="Thomas Axerr"/>
    <s v="123 3rd Street"/>
    <s v="Los Angelas"/>
    <s v="CA"/>
    <n v="99999"/>
    <s v="USA"/>
    <x v="2"/>
    <x v="16"/>
    <x v="7"/>
    <n v="10"/>
    <n v="99"/>
    <x v="82"/>
    <n v="95.039999999999992"/>
  </r>
  <r>
    <n v="1210"/>
    <x v="82"/>
    <n v="3"/>
    <x v="5"/>
    <s v="123 3rd Street"/>
    <x v="4"/>
    <x v="4"/>
    <n v="99999"/>
    <s v="USA"/>
    <x v="0"/>
    <x v="0"/>
    <d v="2014-07-05T00:00:00"/>
    <s v="Shipping Company B"/>
    <s v="Thomas Axerr"/>
    <s v="123 3rd Street"/>
    <s v="Los Angelas"/>
    <s v="CA"/>
    <n v="99999"/>
    <s v="USA"/>
    <x v="2"/>
    <x v="9"/>
    <x v="5"/>
    <n v="40"/>
    <n v="10"/>
    <x v="167"/>
    <n v="40"/>
  </r>
  <r>
    <n v="1214"/>
    <x v="83"/>
    <n v="10"/>
    <x v="8"/>
    <s v="123 10th Street"/>
    <x v="7"/>
    <x v="7"/>
    <n v="99999"/>
    <s v="USA"/>
    <x v="6"/>
    <x v="1"/>
    <d v="2014-07-12T00:00:00"/>
    <s v="Shipping Company B"/>
    <s v="Roland Wacker"/>
    <s v="123 10th Street"/>
    <s v="Chicago"/>
    <s v="IL"/>
    <n v="99999"/>
    <s v="USA"/>
    <x v="1"/>
    <x v="18"/>
    <x v="1"/>
    <n v="10"/>
    <n v="80"/>
    <x v="168"/>
    <n v="77.599999999999994"/>
  </r>
  <r>
    <n v="1216"/>
    <x v="83"/>
    <n v="10"/>
    <x v="8"/>
    <s v="123 10th Street"/>
    <x v="7"/>
    <x v="7"/>
    <n v="99999"/>
    <s v="USA"/>
    <x v="6"/>
    <x v="1"/>
    <m/>
    <s v="Shipping Company A"/>
    <s v="Roland Wacker"/>
    <s v="123 10th Street"/>
    <s v="Chicago"/>
    <s v="IL"/>
    <n v="99999"/>
    <s v="USA"/>
    <x v="3"/>
    <x v="1"/>
    <x v="1"/>
    <n v="3.5"/>
    <n v="27"/>
    <x v="169"/>
    <n v="9.072000000000001"/>
  </r>
  <r>
    <n v="1217"/>
    <x v="84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9"/>
    <x v="5"/>
    <n v="40"/>
    <n v="97"/>
    <x v="170"/>
    <n v="380.24"/>
  </r>
  <r>
    <n v="1218"/>
    <x v="73"/>
    <n v="1"/>
    <x v="11"/>
    <s v="123 1st Street"/>
    <x v="10"/>
    <x v="10"/>
    <n v="99999"/>
    <s v="USA"/>
    <x v="2"/>
    <x v="2"/>
    <m/>
    <s v="Shipping Company C"/>
    <s v="Anna Bedecs"/>
    <s v="123 1st Street"/>
    <s v="Seattle"/>
    <s v="WA"/>
    <n v="99999"/>
    <s v="USA"/>
    <x v="3"/>
    <x v="13"/>
    <x v="8"/>
    <n v="18.399999999999999"/>
    <n v="42"/>
    <x v="171"/>
    <n v="80.371200000000002"/>
  </r>
  <r>
    <n v="1219"/>
    <x v="74"/>
    <n v="28"/>
    <x v="7"/>
    <s v="789 28th Street"/>
    <x v="6"/>
    <x v="6"/>
    <n v="99999"/>
    <s v="USA"/>
    <x v="5"/>
    <x v="3"/>
    <n v="41850"/>
    <s v="Shipping Company C"/>
    <s v="Amritansh Raghav"/>
    <s v="789 28th Street"/>
    <s v="Memphis"/>
    <s v="TN"/>
    <n v="99999"/>
    <s v="USA"/>
    <x v="1"/>
    <x v="5"/>
    <x v="0"/>
    <n v="46"/>
    <n v="24"/>
    <x v="15"/>
    <n v="105.98399999999999"/>
  </r>
  <r>
    <n v="1220"/>
    <x v="75"/>
    <n v="9"/>
    <x v="12"/>
    <s v="123 9th Street"/>
    <x v="11"/>
    <x v="11"/>
    <n v="99999"/>
    <s v="USA"/>
    <x v="7"/>
    <x v="0"/>
    <d v="2014-07-11T00:00:00"/>
    <s v="Shipping Company A"/>
    <s v="Sven Mortensen"/>
    <s v="123 9th Street"/>
    <s v="Salt Lake City"/>
    <s v="UT"/>
    <n v="99999"/>
    <s v="USA"/>
    <x v="0"/>
    <x v="8"/>
    <x v="4"/>
    <n v="9.65"/>
    <n v="90"/>
    <x v="172"/>
    <n v="83.376000000000005"/>
  </r>
  <r>
    <n v="1221"/>
    <x v="76"/>
    <n v="6"/>
    <x v="6"/>
    <s v="123 6th Street"/>
    <x v="5"/>
    <x v="5"/>
    <n v="99999"/>
    <s v="USA"/>
    <x v="4"/>
    <x v="2"/>
    <d v="2014-07-08T00:00:00"/>
    <s v="Shipping Company B"/>
    <s v="Francisco Pérez-Olaeta"/>
    <s v="123 6th Street"/>
    <s v="Milwaukee"/>
    <s v="WI"/>
    <n v="99999"/>
    <s v="USA"/>
    <x v="1"/>
    <x v="7"/>
    <x v="3"/>
    <n v="12.75"/>
    <n v="28"/>
    <x v="173"/>
    <n v="35.700000000000003"/>
  </r>
  <r>
    <n v="1222"/>
    <x v="85"/>
    <n v="28"/>
    <x v="7"/>
    <s v="789 28th Street"/>
    <x v="6"/>
    <x v="6"/>
    <n v="99999"/>
    <s v="USA"/>
    <x v="5"/>
    <x v="3"/>
    <d v="2014-08-30T00:00:00"/>
    <s v="Shipping Company C"/>
    <s v="Amritansh Raghav"/>
    <s v="789 28th Street"/>
    <s v="Memphis"/>
    <s v="TN"/>
    <n v="99999"/>
    <s v="USA"/>
    <x v="0"/>
    <x v="5"/>
    <x v="0"/>
    <n v="46"/>
    <n v="28"/>
    <x v="174"/>
    <n v="133.95200000000003"/>
  </r>
  <r>
    <n v="1223"/>
    <x v="86"/>
    <n v="8"/>
    <x v="3"/>
    <s v="123 8th Street"/>
    <x v="2"/>
    <x v="2"/>
    <n v="99999"/>
    <s v="USA"/>
    <x v="2"/>
    <x v="2"/>
    <d v="2014-08-10T00:00:00"/>
    <s v="Shipping Company C"/>
    <s v="Elizabeth Andersen"/>
    <s v="123 8th Street"/>
    <s v="Portland"/>
    <s v="OR"/>
    <n v="99999"/>
    <s v="USA"/>
    <x v="0"/>
    <x v="7"/>
    <x v="3"/>
    <n v="12.75"/>
    <n v="57"/>
    <x v="175"/>
    <n v="69.768000000000001"/>
  </r>
  <r>
    <n v="1224"/>
    <x v="87"/>
    <n v="10"/>
    <x v="8"/>
    <s v="123 10th Street"/>
    <x v="7"/>
    <x v="7"/>
    <n v="99999"/>
    <s v="USA"/>
    <x v="6"/>
    <x v="1"/>
    <d v="2014-08-12T00:00:00"/>
    <s v="Shipping Company B"/>
    <s v="Roland Wacker"/>
    <s v="123 10th Street"/>
    <s v="Chicago"/>
    <s v="IL"/>
    <n v="99999"/>
    <s v="USA"/>
    <x v="1"/>
    <x v="10"/>
    <x v="0"/>
    <n v="2.99"/>
    <n v="23"/>
    <x v="176"/>
    <n v="6.6706900000000013"/>
  </r>
  <r>
    <n v="1225"/>
    <x v="88"/>
    <n v="7"/>
    <x v="9"/>
    <s v="123 7th Street"/>
    <x v="8"/>
    <x v="8"/>
    <n v="99999"/>
    <s v="USA"/>
    <x v="2"/>
    <x v="2"/>
    <m/>
    <m/>
    <s v="Ming-Yang Xie"/>
    <s v="123 7th Street"/>
    <s v="Boise"/>
    <s v="ID"/>
    <n v="99999"/>
    <s v="USA"/>
    <x v="3"/>
    <x v="5"/>
    <x v="0"/>
    <n v="46"/>
    <n v="86"/>
    <x v="177"/>
    <n v="399.55600000000004"/>
  </r>
  <r>
    <n v="1226"/>
    <x v="87"/>
    <n v="10"/>
    <x v="8"/>
    <s v="123 10th Street"/>
    <x v="7"/>
    <x v="7"/>
    <n v="99999"/>
    <s v="USA"/>
    <x v="6"/>
    <x v="1"/>
    <d v="2014-08-12T00:00:00"/>
    <s v="Shipping Company A"/>
    <s v="Roland Wacker"/>
    <s v="123 10th Street"/>
    <s v="Chicago"/>
    <s v="IL"/>
    <n v="99999"/>
    <s v="USA"/>
    <x v="3"/>
    <x v="11"/>
    <x v="6"/>
    <n v="25"/>
    <n v="47"/>
    <x v="178"/>
    <n v="116.325"/>
  </r>
  <r>
    <n v="1227"/>
    <x v="87"/>
    <n v="10"/>
    <x v="8"/>
    <s v="123 10th Street"/>
    <x v="7"/>
    <x v="7"/>
    <n v="99999"/>
    <s v="USA"/>
    <x v="6"/>
    <x v="1"/>
    <d v="2014-08-12T00:00:00"/>
    <s v="Shipping Company A"/>
    <s v="Roland Wacker"/>
    <s v="123 10th Street"/>
    <s v="Chicago"/>
    <s v="IL"/>
    <n v="99999"/>
    <s v="USA"/>
    <x v="3"/>
    <x v="12"/>
    <x v="7"/>
    <n v="22"/>
    <n v="97"/>
    <x v="179"/>
    <n v="221.93600000000001"/>
  </r>
  <r>
    <n v="1228"/>
    <x v="87"/>
    <n v="10"/>
    <x v="8"/>
    <s v="123 10th Street"/>
    <x v="7"/>
    <x v="7"/>
    <n v="99999"/>
    <s v="USA"/>
    <x v="6"/>
    <x v="1"/>
    <d v="2014-08-12T00:00:00"/>
    <s v="Shipping Company A"/>
    <s v="Roland Wacker"/>
    <s v="123 10th Street"/>
    <s v="Chicago"/>
    <s v="IL"/>
    <n v="99999"/>
    <s v="USA"/>
    <x v="3"/>
    <x v="6"/>
    <x v="2"/>
    <n v="9.1999999999999993"/>
    <n v="96"/>
    <x v="180"/>
    <n v="86.553599999999989"/>
  </r>
  <r>
    <n v="1229"/>
    <x v="89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1"/>
    <x v="1"/>
    <n v="3.5"/>
    <n v="31"/>
    <x v="181"/>
    <n v="10.850000000000001"/>
  </r>
  <r>
    <n v="1230"/>
    <x v="89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10"/>
    <x v="0"/>
    <n v="2.99"/>
    <n v="52"/>
    <x v="182"/>
    <n v="16.014440000000004"/>
  </r>
  <r>
    <n v="1231"/>
    <x v="90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4"/>
    <x v="0"/>
    <n v="18"/>
    <n v="91"/>
    <x v="183"/>
    <n v="158.886"/>
  </r>
  <r>
    <n v="1232"/>
    <x v="90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5"/>
    <x v="0"/>
    <n v="46"/>
    <n v="14"/>
    <x v="184"/>
    <n v="63.756000000000007"/>
  </r>
  <r>
    <n v="1233"/>
    <x v="90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10"/>
    <x v="0"/>
    <n v="2.99"/>
    <n v="44"/>
    <x v="185"/>
    <n v="13.287560000000001"/>
  </r>
  <r>
    <n v="1234"/>
    <x v="85"/>
    <n v="28"/>
    <x v="7"/>
    <s v="789 28th Street"/>
    <x v="6"/>
    <x v="6"/>
    <n v="99999"/>
    <s v="USA"/>
    <x v="5"/>
    <x v="3"/>
    <d v="2014-08-30T00:00:00"/>
    <s v="Shipping Company C"/>
    <s v="Amritansh Raghav"/>
    <s v="789 28th Street"/>
    <s v="Memphis"/>
    <s v="TN"/>
    <n v="99999"/>
    <s v="USA"/>
    <x v="1"/>
    <x v="8"/>
    <x v="4"/>
    <n v="9.65"/>
    <n v="97"/>
    <x v="53"/>
    <n v="95.477100000000021"/>
  </r>
  <r>
    <n v="1235"/>
    <x v="85"/>
    <n v="28"/>
    <x v="7"/>
    <s v="789 28th Street"/>
    <x v="6"/>
    <x v="6"/>
    <n v="99999"/>
    <s v="USA"/>
    <x v="5"/>
    <x v="3"/>
    <d v="2014-08-30T00:00:00"/>
    <s v="Shipping Company C"/>
    <s v="Amritansh Raghav"/>
    <s v="789 28th Street"/>
    <s v="Memphis"/>
    <s v="TN"/>
    <n v="99999"/>
    <s v="USA"/>
    <x v="1"/>
    <x v="13"/>
    <x v="8"/>
    <n v="18.399999999999999"/>
    <n v="80"/>
    <x v="36"/>
    <n v="150.14400000000003"/>
  </r>
  <r>
    <n v="1236"/>
    <x v="91"/>
    <n v="9"/>
    <x v="12"/>
    <s v="123 9th Street"/>
    <x v="11"/>
    <x v="11"/>
    <n v="99999"/>
    <s v="USA"/>
    <x v="7"/>
    <x v="0"/>
    <d v="2014-08-11T00:00:00"/>
    <s v="Shipping Company A"/>
    <s v="Sven Mortensen"/>
    <s v="123 9th Street"/>
    <s v="Salt Lake City"/>
    <s v="UT"/>
    <n v="99999"/>
    <s v="USA"/>
    <x v="0"/>
    <x v="14"/>
    <x v="9"/>
    <n v="19.5"/>
    <n v="66"/>
    <x v="186"/>
    <n v="132.56100000000001"/>
  </r>
  <r>
    <n v="1237"/>
    <x v="91"/>
    <n v="9"/>
    <x v="12"/>
    <s v="123 9th Street"/>
    <x v="11"/>
    <x v="11"/>
    <n v="99999"/>
    <s v="USA"/>
    <x v="7"/>
    <x v="0"/>
    <d v="2014-08-11T00:00:00"/>
    <s v="Shipping Company A"/>
    <s v="Sven Mortensen"/>
    <s v="123 9th Street"/>
    <s v="Salt Lake City"/>
    <s v="UT"/>
    <n v="99999"/>
    <s v="USA"/>
    <x v="0"/>
    <x v="15"/>
    <x v="10"/>
    <n v="34.799999999999997"/>
    <n v="32"/>
    <x v="187"/>
    <n v="111.36"/>
  </r>
  <r>
    <n v="1238"/>
    <x v="92"/>
    <n v="6"/>
    <x v="6"/>
    <s v="123 6th Street"/>
    <x v="5"/>
    <x v="5"/>
    <n v="99999"/>
    <s v="USA"/>
    <x v="4"/>
    <x v="2"/>
    <d v="2014-08-08T00:00:00"/>
    <s v="Shipping Company B"/>
    <s v="Francisco Pérez-Olaeta"/>
    <s v="123 6th Street"/>
    <s v="Milwaukee"/>
    <s v="WI"/>
    <n v="99999"/>
    <s v="USA"/>
    <x v="1"/>
    <x v="0"/>
    <x v="0"/>
    <n v="14"/>
    <n v="52"/>
    <x v="188"/>
    <n v="72.8"/>
  </r>
  <r>
    <n v="1239"/>
    <x v="86"/>
    <n v="8"/>
    <x v="3"/>
    <s v="123 8th Street"/>
    <x v="2"/>
    <x v="2"/>
    <n v="99999"/>
    <s v="USA"/>
    <x v="2"/>
    <x v="2"/>
    <d v="2014-08-10T00:00:00"/>
    <s v="Shipping Company B"/>
    <s v="Elizabeth Andersen"/>
    <s v="123 8th Street"/>
    <s v="Portland"/>
    <s v="OR"/>
    <n v="99999"/>
    <s v="USA"/>
    <x v="0"/>
    <x v="9"/>
    <x v="5"/>
    <n v="40"/>
    <n v="78"/>
    <x v="189"/>
    <n v="318.24"/>
  </r>
  <r>
    <n v="1240"/>
    <x v="86"/>
    <n v="8"/>
    <x v="3"/>
    <s v="123 8th Street"/>
    <x v="2"/>
    <x v="2"/>
    <n v="99999"/>
    <s v="USA"/>
    <x v="2"/>
    <x v="2"/>
    <d v="2014-08-10T00:00:00"/>
    <s v="Shipping Company B"/>
    <s v="Elizabeth Andersen"/>
    <s v="123 8th Street"/>
    <s v="Portland"/>
    <s v="OR"/>
    <n v="99999"/>
    <s v="USA"/>
    <x v="0"/>
    <x v="6"/>
    <x v="2"/>
    <n v="9.1999999999999993"/>
    <n v="54"/>
    <x v="190"/>
    <n v="49.183199999999999"/>
  </r>
  <r>
    <n v="1241"/>
    <x v="93"/>
    <n v="25"/>
    <x v="13"/>
    <s v="789 25th Street"/>
    <x v="7"/>
    <x v="7"/>
    <n v="99999"/>
    <s v="USA"/>
    <x v="6"/>
    <x v="1"/>
    <d v="2014-08-27T00:00:00"/>
    <s v="Shipping Company A"/>
    <s v="John Rodman"/>
    <s v="789 25th Street"/>
    <s v="Chicago"/>
    <s v="IL"/>
    <n v="99999"/>
    <s v="USA"/>
    <x v="2"/>
    <x v="21"/>
    <x v="2"/>
    <n v="10"/>
    <n v="55"/>
    <x v="62"/>
    <n v="52.25"/>
  </r>
  <r>
    <n v="1242"/>
    <x v="94"/>
    <n v="26"/>
    <x v="14"/>
    <s v="789 26th Street"/>
    <x v="9"/>
    <x v="9"/>
    <n v="99999"/>
    <s v="USA"/>
    <x v="5"/>
    <x v="3"/>
    <d v="2014-08-28T00:00:00"/>
    <s v="Shipping Company C"/>
    <s v="Run Liu"/>
    <s v="789 26th Street"/>
    <s v="Miami"/>
    <s v="FL"/>
    <n v="99999"/>
    <s v="USA"/>
    <x v="1"/>
    <x v="22"/>
    <x v="13"/>
    <n v="21.35"/>
    <n v="60"/>
    <x v="191"/>
    <n v="129.381"/>
  </r>
  <r>
    <n v="1243"/>
    <x v="94"/>
    <n v="26"/>
    <x v="14"/>
    <s v="789 26th Street"/>
    <x v="9"/>
    <x v="9"/>
    <n v="99999"/>
    <s v="USA"/>
    <x v="5"/>
    <x v="3"/>
    <d v="2014-08-28T00:00:00"/>
    <s v="Shipping Company C"/>
    <s v="Run Liu"/>
    <s v="789 26th Street"/>
    <s v="Miami"/>
    <s v="FL"/>
    <n v="99999"/>
    <s v="USA"/>
    <x v="1"/>
    <x v="8"/>
    <x v="4"/>
    <n v="9.65"/>
    <n v="19"/>
    <x v="192"/>
    <n v="17.41825"/>
  </r>
  <r>
    <n v="1244"/>
    <x v="94"/>
    <n v="26"/>
    <x v="14"/>
    <s v="789 26th Street"/>
    <x v="9"/>
    <x v="9"/>
    <n v="99999"/>
    <s v="USA"/>
    <x v="5"/>
    <x v="3"/>
    <d v="2014-08-28T00:00:00"/>
    <s v="Shipping Company C"/>
    <s v="Run Liu"/>
    <s v="789 26th Street"/>
    <s v="Miami"/>
    <s v="FL"/>
    <n v="99999"/>
    <s v="USA"/>
    <x v="1"/>
    <x v="13"/>
    <x v="8"/>
    <n v="18.399999999999999"/>
    <n v="66"/>
    <x v="193"/>
    <n v="125.08320000000001"/>
  </r>
  <r>
    <n v="1245"/>
    <x v="95"/>
    <n v="29"/>
    <x v="4"/>
    <s v="789 29th Street"/>
    <x v="3"/>
    <x v="3"/>
    <n v="99999"/>
    <s v="USA"/>
    <x v="3"/>
    <x v="0"/>
    <d v="2014-08-31T00:00:00"/>
    <s v="Shipping Company B"/>
    <s v="Soo Jung Lee"/>
    <s v="789 29th Street"/>
    <s v="Denver"/>
    <s v="CO"/>
    <n v="99999"/>
    <s v="USA"/>
    <x v="0"/>
    <x v="0"/>
    <x v="0"/>
    <n v="14"/>
    <n v="42"/>
    <x v="194"/>
    <n v="59.388000000000005"/>
  </r>
  <r>
    <n v="1246"/>
    <x v="92"/>
    <n v="6"/>
    <x v="6"/>
    <s v="123 6th Street"/>
    <x v="5"/>
    <x v="5"/>
    <n v="99999"/>
    <s v="USA"/>
    <x v="4"/>
    <x v="2"/>
    <n v="41859"/>
    <s v="Shipping Company C"/>
    <s v="Francisco Pérez-Olaeta"/>
    <s v="123 6th Street"/>
    <s v="Milwaukee"/>
    <s v="WI"/>
    <n v="99999"/>
    <s v="USA"/>
    <x v="0"/>
    <x v="7"/>
    <x v="3"/>
    <n v="12.75"/>
    <n v="72"/>
    <x v="195"/>
    <n v="89.046000000000006"/>
  </r>
  <r>
    <n v="1248"/>
    <x v="96"/>
    <n v="4"/>
    <x v="1"/>
    <s v="123 4th Street"/>
    <x v="1"/>
    <x v="1"/>
    <n v="99999"/>
    <s v="USA"/>
    <x v="1"/>
    <x v="1"/>
    <n v="41857"/>
    <s v="Shipping Company A"/>
    <s v="Christina Lee"/>
    <s v="123 4th Street"/>
    <s v="New York"/>
    <s v="NY"/>
    <n v="99999"/>
    <s v="USA"/>
    <x v="1"/>
    <x v="23"/>
    <x v="6"/>
    <n v="81"/>
    <n v="32"/>
    <x v="196"/>
    <n v="251.42399999999998"/>
  </r>
  <r>
    <n v="1249"/>
    <x v="96"/>
    <n v="4"/>
    <x v="1"/>
    <s v="123 4th Street"/>
    <x v="1"/>
    <x v="1"/>
    <n v="99999"/>
    <s v="USA"/>
    <x v="1"/>
    <x v="1"/>
    <n v="41857"/>
    <s v="Shipping Company A"/>
    <s v="Christina Lee"/>
    <s v="123 4th Street"/>
    <s v="New York"/>
    <s v="NY"/>
    <n v="99999"/>
    <s v="USA"/>
    <x v="1"/>
    <x v="24"/>
    <x v="14"/>
    <n v="7"/>
    <n v="76"/>
    <x v="197"/>
    <n v="53.732000000000006"/>
  </r>
  <r>
    <n v="1250"/>
    <x v="97"/>
    <n v="10"/>
    <x v="8"/>
    <s v="123 10th Street"/>
    <x v="7"/>
    <x v="7"/>
    <n v="99999"/>
    <s v="USA"/>
    <x v="6"/>
    <x v="1"/>
    <n v="41894"/>
    <s v="Shipping Company A"/>
    <s v="Roland Wacker"/>
    <s v="123 10th Street"/>
    <s v="Chicago"/>
    <s v="IL"/>
    <n v="99999"/>
    <s v="USA"/>
    <x v="3"/>
    <x v="6"/>
    <x v="2"/>
    <n v="9.1999999999999993"/>
    <n v="83"/>
    <x v="198"/>
    <n v="74.832799999999992"/>
  </r>
  <r>
    <n v="1251"/>
    <x v="98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1"/>
    <x v="1"/>
    <n v="3.5"/>
    <n v="91"/>
    <x v="199"/>
    <n v="31.213000000000001"/>
  </r>
  <r>
    <n v="1252"/>
    <x v="98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10"/>
    <x v="0"/>
    <n v="2.99"/>
    <n v="64"/>
    <x v="200"/>
    <n v="19.518720000000002"/>
  </r>
  <r>
    <n v="1253"/>
    <x v="99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4"/>
    <x v="0"/>
    <n v="18"/>
    <n v="58"/>
    <x v="137"/>
    <n v="103.35600000000001"/>
  </r>
  <r>
    <n v="1254"/>
    <x v="99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5"/>
    <x v="0"/>
    <n v="46"/>
    <n v="97"/>
    <x v="201"/>
    <n v="464.04800000000006"/>
  </r>
  <r>
    <n v="1255"/>
    <x v="99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10"/>
    <x v="0"/>
    <n v="2.99"/>
    <n v="14"/>
    <x v="202"/>
    <n v="4.35344"/>
  </r>
  <r>
    <n v="1256"/>
    <x v="100"/>
    <n v="28"/>
    <x v="7"/>
    <s v="789 28th Street"/>
    <x v="6"/>
    <x v="6"/>
    <n v="99999"/>
    <s v="USA"/>
    <x v="5"/>
    <x v="3"/>
    <d v="2014-09-30T00:00:00"/>
    <s v="Shipping Company C"/>
    <s v="Amritansh Raghav"/>
    <s v="789 28th Street"/>
    <s v="Memphis"/>
    <s v="TN"/>
    <n v="99999"/>
    <s v="USA"/>
    <x v="1"/>
    <x v="8"/>
    <x v="4"/>
    <n v="9.65"/>
    <n v="68"/>
    <x v="203"/>
    <n v="64.307600000000008"/>
  </r>
  <r>
    <n v="1257"/>
    <x v="100"/>
    <n v="28"/>
    <x v="7"/>
    <s v="789 28th Street"/>
    <x v="6"/>
    <x v="6"/>
    <n v="99999"/>
    <s v="USA"/>
    <x v="5"/>
    <x v="3"/>
    <n v="41912"/>
    <s v="Shipping Company C"/>
    <s v="Amritansh Raghav"/>
    <s v="789 28th Street"/>
    <s v="Memphis"/>
    <s v="TN"/>
    <n v="99999"/>
    <s v="USA"/>
    <x v="1"/>
    <x v="13"/>
    <x v="8"/>
    <n v="18.399999999999999"/>
    <n v="32"/>
    <x v="204"/>
    <n v="58.879999999999995"/>
  </r>
  <r>
    <n v="1258"/>
    <x v="101"/>
    <n v="9"/>
    <x v="12"/>
    <s v="123 9th Street"/>
    <x v="11"/>
    <x v="11"/>
    <n v="99999"/>
    <s v="USA"/>
    <x v="7"/>
    <x v="0"/>
    <d v="2014-09-11T00:00:00"/>
    <s v="Shipping Company A"/>
    <s v="Sven Mortensen"/>
    <s v="123 9th Street"/>
    <s v="Salt Lake City"/>
    <s v="UT"/>
    <n v="99999"/>
    <s v="USA"/>
    <x v="0"/>
    <x v="14"/>
    <x v="9"/>
    <n v="19.5"/>
    <n v="48"/>
    <x v="205"/>
    <n v="94.536000000000016"/>
  </r>
  <r>
    <n v="1259"/>
    <x v="101"/>
    <n v="9"/>
    <x v="12"/>
    <s v="123 9th Street"/>
    <x v="11"/>
    <x v="11"/>
    <n v="99999"/>
    <s v="USA"/>
    <x v="7"/>
    <x v="0"/>
    <d v="2014-09-11T00:00:00"/>
    <s v="Shipping Company A"/>
    <s v="Sven Mortensen"/>
    <s v="123 9th Street"/>
    <s v="Salt Lake City"/>
    <s v="UT"/>
    <n v="99999"/>
    <s v="USA"/>
    <x v="0"/>
    <x v="15"/>
    <x v="10"/>
    <n v="34.799999999999997"/>
    <n v="57"/>
    <x v="206"/>
    <n v="194.39280000000002"/>
  </r>
  <r>
    <n v="1260"/>
    <x v="102"/>
    <n v="6"/>
    <x v="6"/>
    <s v="123 6th Street"/>
    <x v="5"/>
    <x v="5"/>
    <n v="99999"/>
    <s v="USA"/>
    <x v="4"/>
    <x v="2"/>
    <d v="2014-09-08T00:00:00"/>
    <s v="Shipping Company B"/>
    <s v="Francisco Pérez-Olaeta"/>
    <s v="123 6th Street"/>
    <s v="Milwaukee"/>
    <s v="WI"/>
    <n v="99999"/>
    <s v="USA"/>
    <x v="1"/>
    <x v="0"/>
    <x v="0"/>
    <n v="14"/>
    <n v="67"/>
    <x v="207"/>
    <n v="98.490000000000009"/>
  </r>
  <r>
    <n v="1261"/>
    <x v="103"/>
    <n v="8"/>
    <x v="3"/>
    <s v="123 8th Street"/>
    <x v="2"/>
    <x v="2"/>
    <n v="99999"/>
    <s v="USA"/>
    <x v="2"/>
    <x v="2"/>
    <n v="41892"/>
    <s v="Shipping Company B"/>
    <s v="Elizabeth Andersen"/>
    <s v="123 8th Street"/>
    <s v="Portland"/>
    <s v="OR"/>
    <n v="99999"/>
    <s v="USA"/>
    <x v="0"/>
    <x v="9"/>
    <x v="5"/>
    <n v="40"/>
    <n v="48"/>
    <x v="208"/>
    <n v="188.16"/>
  </r>
  <r>
    <n v="1262"/>
    <x v="103"/>
    <n v="8"/>
    <x v="3"/>
    <s v="123 8th Street"/>
    <x v="2"/>
    <x v="2"/>
    <n v="99999"/>
    <s v="USA"/>
    <x v="2"/>
    <x v="2"/>
    <n v="41892"/>
    <s v="Shipping Company B"/>
    <s v="Elizabeth Andersen"/>
    <s v="123 8th Street"/>
    <s v="Portland"/>
    <s v="OR"/>
    <n v="99999"/>
    <s v="USA"/>
    <x v="0"/>
    <x v="6"/>
    <x v="2"/>
    <n v="9.1999999999999993"/>
    <n v="77"/>
    <x v="209"/>
    <n v="72.256799999999998"/>
  </r>
  <r>
    <n v="1263"/>
    <x v="104"/>
    <n v="25"/>
    <x v="13"/>
    <s v="789 25th Street"/>
    <x v="7"/>
    <x v="7"/>
    <n v="99999"/>
    <s v="USA"/>
    <x v="6"/>
    <x v="1"/>
    <n v="41909"/>
    <s v="Shipping Company A"/>
    <s v="John Rodman"/>
    <s v="789 25th Street"/>
    <s v="Chicago"/>
    <s v="IL"/>
    <n v="99999"/>
    <s v="USA"/>
    <x v="2"/>
    <x v="21"/>
    <x v="2"/>
    <n v="10"/>
    <n v="94"/>
    <x v="210"/>
    <n v="97.76"/>
  </r>
  <r>
    <n v="1264"/>
    <x v="105"/>
    <n v="26"/>
    <x v="14"/>
    <s v="789 26th Street"/>
    <x v="9"/>
    <x v="9"/>
    <n v="99999"/>
    <s v="USA"/>
    <x v="5"/>
    <x v="3"/>
    <n v="41910"/>
    <s v="Shipping Company C"/>
    <s v="Run Liu"/>
    <s v="789 26th Street"/>
    <s v="Miami"/>
    <s v="FL"/>
    <n v="99999"/>
    <s v="USA"/>
    <x v="1"/>
    <x v="22"/>
    <x v="13"/>
    <n v="21.35"/>
    <n v="54"/>
    <x v="211"/>
    <n v="121.05450000000003"/>
  </r>
  <r>
    <n v="1265"/>
    <x v="105"/>
    <n v="26"/>
    <x v="14"/>
    <s v="789 26th Street"/>
    <x v="9"/>
    <x v="9"/>
    <n v="99999"/>
    <s v="USA"/>
    <x v="5"/>
    <x v="3"/>
    <n v="41910"/>
    <s v="Shipping Company C"/>
    <s v="Run Liu"/>
    <s v="789 26th Street"/>
    <s v="Miami"/>
    <s v="FL"/>
    <n v="99999"/>
    <s v="USA"/>
    <x v="1"/>
    <x v="8"/>
    <x v="4"/>
    <n v="9.65"/>
    <n v="43"/>
    <x v="84"/>
    <n v="40.250150000000005"/>
  </r>
  <r>
    <n v="1266"/>
    <x v="105"/>
    <n v="26"/>
    <x v="14"/>
    <s v="789 26th Street"/>
    <x v="9"/>
    <x v="9"/>
    <n v="99999"/>
    <s v="USA"/>
    <x v="5"/>
    <x v="3"/>
    <d v="2014-09-28T00:00:00"/>
    <s v="Shipping Company C"/>
    <s v="Run Liu"/>
    <s v="789 26th Street"/>
    <s v="Miami"/>
    <s v="FL"/>
    <n v="99999"/>
    <s v="USA"/>
    <x v="1"/>
    <x v="13"/>
    <x v="8"/>
    <n v="18.399999999999999"/>
    <n v="71"/>
    <x v="143"/>
    <n v="134.55919999999998"/>
  </r>
  <r>
    <n v="1267"/>
    <x v="106"/>
    <n v="29"/>
    <x v="4"/>
    <s v="789 29th Street"/>
    <x v="3"/>
    <x v="3"/>
    <n v="99999"/>
    <s v="USA"/>
    <x v="3"/>
    <x v="0"/>
    <d v="2014-10-01T00:00:00"/>
    <s v="Shipping Company B"/>
    <s v="Soo Jung Lee"/>
    <s v="789 29th Street"/>
    <s v="Denver"/>
    <s v="CO"/>
    <n v="99999"/>
    <s v="USA"/>
    <x v="0"/>
    <x v="0"/>
    <x v="0"/>
    <n v="14"/>
    <n v="50"/>
    <x v="212"/>
    <n v="67.2"/>
  </r>
  <r>
    <n v="1268"/>
    <x v="102"/>
    <n v="6"/>
    <x v="6"/>
    <s v="123 6th Street"/>
    <x v="5"/>
    <x v="5"/>
    <n v="99999"/>
    <s v="USA"/>
    <x v="4"/>
    <x v="2"/>
    <d v="2014-09-08T00:00:00"/>
    <s v="Shipping Company C"/>
    <s v="Francisco Pérez-Olaeta"/>
    <s v="123 6th Street"/>
    <s v="Milwaukee"/>
    <s v="WI"/>
    <n v="99999"/>
    <s v="USA"/>
    <x v="0"/>
    <x v="7"/>
    <x v="3"/>
    <n v="12.75"/>
    <n v="96"/>
    <x v="146"/>
    <n v="119.952"/>
  </r>
  <r>
    <n v="1270"/>
    <x v="107"/>
    <n v="4"/>
    <x v="1"/>
    <s v="123 4th Street"/>
    <x v="1"/>
    <x v="1"/>
    <n v="99999"/>
    <s v="USA"/>
    <x v="1"/>
    <x v="1"/>
    <d v="2014-09-06T00:00:00"/>
    <s v="Shipping Company A"/>
    <s v="Christina Lee"/>
    <s v="123 4th Street"/>
    <s v="New York"/>
    <s v="NY"/>
    <n v="99999"/>
    <s v="USA"/>
    <x v="1"/>
    <x v="23"/>
    <x v="6"/>
    <n v="81"/>
    <n v="54"/>
    <x v="213"/>
    <n v="437.40000000000003"/>
  </r>
  <r>
    <n v="1271"/>
    <x v="107"/>
    <n v="4"/>
    <x v="1"/>
    <s v="123 4th Street"/>
    <x v="1"/>
    <x v="1"/>
    <n v="99999"/>
    <s v="USA"/>
    <x v="1"/>
    <x v="1"/>
    <d v="2014-09-06T00:00:00"/>
    <s v="Shipping Company A"/>
    <s v="Christina Lee"/>
    <s v="123 4th Street"/>
    <s v="New York"/>
    <s v="NY"/>
    <n v="99999"/>
    <s v="USA"/>
    <x v="1"/>
    <x v="24"/>
    <x v="14"/>
    <n v="7"/>
    <n v="39"/>
    <x v="214"/>
    <n v="27.3"/>
  </r>
  <r>
    <n v="1273"/>
    <x v="103"/>
    <n v="8"/>
    <x v="3"/>
    <s v="123 8th Street"/>
    <x v="2"/>
    <x v="2"/>
    <n v="99999"/>
    <s v="USA"/>
    <x v="2"/>
    <x v="2"/>
    <d v="2014-09-10T00:00:00"/>
    <s v="Shipping Company C"/>
    <s v="Elizabeth Andersen"/>
    <s v="123 8th Street"/>
    <s v="Portland"/>
    <s v="OR"/>
    <n v="99999"/>
    <s v="USA"/>
    <x v="1"/>
    <x v="15"/>
    <x v="10"/>
    <n v="34.799999999999997"/>
    <n v="63"/>
    <x v="59"/>
    <n v="230.202"/>
  </r>
  <r>
    <n v="1276"/>
    <x v="108"/>
    <n v="3"/>
    <x v="5"/>
    <s v="123 3rd Street"/>
    <x v="4"/>
    <x v="4"/>
    <n v="99999"/>
    <s v="USA"/>
    <x v="0"/>
    <x v="0"/>
    <d v="2014-09-05T00:00:00"/>
    <s v="Shipping Company B"/>
    <s v="Thomas Axerr"/>
    <s v="123 3rd Street"/>
    <s v="Los Angelas"/>
    <s v="CA"/>
    <n v="99999"/>
    <s v="USA"/>
    <x v="2"/>
    <x v="16"/>
    <x v="7"/>
    <n v="10"/>
    <n v="71"/>
    <x v="215"/>
    <n v="73.13"/>
  </r>
  <r>
    <n v="1277"/>
    <x v="108"/>
    <n v="3"/>
    <x v="5"/>
    <s v="123 3rd Street"/>
    <x v="4"/>
    <x v="4"/>
    <n v="99999"/>
    <s v="USA"/>
    <x v="0"/>
    <x v="0"/>
    <d v="2014-09-05T00:00:00"/>
    <s v="Shipping Company B"/>
    <s v="Thomas Axerr"/>
    <s v="123 3rd Street"/>
    <s v="Los Angelas"/>
    <s v="CA"/>
    <n v="99999"/>
    <s v="USA"/>
    <x v="2"/>
    <x v="9"/>
    <x v="5"/>
    <n v="40"/>
    <n v="88"/>
    <x v="216"/>
    <n v="366.08000000000004"/>
  </r>
  <r>
    <n v="1281"/>
    <x v="97"/>
    <n v="10"/>
    <x v="8"/>
    <s v="123 10th Street"/>
    <x v="7"/>
    <x v="7"/>
    <n v="99999"/>
    <s v="USA"/>
    <x v="6"/>
    <x v="1"/>
    <d v="2014-09-12T00:00:00"/>
    <s v="Shipping Company B"/>
    <s v="Roland Wacker"/>
    <s v="123 10th Street"/>
    <s v="Chicago"/>
    <s v="IL"/>
    <n v="99999"/>
    <s v="USA"/>
    <x v="1"/>
    <x v="18"/>
    <x v="1"/>
    <n v="10"/>
    <n v="59"/>
    <x v="217"/>
    <n v="59.59"/>
  </r>
  <r>
    <n v="1282"/>
    <x v="109"/>
    <n v="6"/>
    <x v="6"/>
    <s v="123 6th Street"/>
    <x v="5"/>
    <x v="5"/>
    <n v="99999"/>
    <s v="USA"/>
    <x v="4"/>
    <x v="2"/>
    <d v="2014-10-08T00:00:00"/>
    <s v="Shipping Company B"/>
    <s v="Francisco Pérez-Olaeta"/>
    <s v="123 6th Street"/>
    <s v="Milwaukee"/>
    <s v="WI"/>
    <n v="99999"/>
    <s v="USA"/>
    <x v="1"/>
    <x v="9"/>
    <x v="5"/>
    <n v="40"/>
    <n v="94"/>
    <x v="218"/>
    <n v="376"/>
  </r>
  <r>
    <n v="1283"/>
    <x v="110"/>
    <n v="28"/>
    <x v="7"/>
    <s v="789 28th Street"/>
    <x v="6"/>
    <x v="6"/>
    <n v="99999"/>
    <s v="USA"/>
    <x v="5"/>
    <x v="3"/>
    <d v="2014-10-30T00:00:00"/>
    <s v="Shipping Company C"/>
    <s v="Amritansh Raghav"/>
    <s v="789 28th Street"/>
    <s v="Memphis"/>
    <s v="TN"/>
    <n v="99999"/>
    <s v="USA"/>
    <x v="0"/>
    <x v="5"/>
    <x v="0"/>
    <n v="46"/>
    <n v="86"/>
    <x v="177"/>
    <n v="379.77600000000001"/>
  </r>
  <r>
    <n v="1284"/>
    <x v="111"/>
    <n v="8"/>
    <x v="3"/>
    <s v="123 8th Street"/>
    <x v="2"/>
    <x v="2"/>
    <n v="99999"/>
    <s v="USA"/>
    <x v="2"/>
    <x v="2"/>
    <d v="2014-10-10T00:00:00"/>
    <s v="Shipping Company C"/>
    <s v="Elizabeth Andersen"/>
    <s v="123 8th Street"/>
    <s v="Portland"/>
    <s v="OR"/>
    <n v="99999"/>
    <s v="USA"/>
    <x v="0"/>
    <x v="7"/>
    <x v="3"/>
    <n v="12.75"/>
    <n v="61"/>
    <x v="219"/>
    <n v="78.552750000000003"/>
  </r>
  <r>
    <n v="1285"/>
    <x v="112"/>
    <n v="10"/>
    <x v="8"/>
    <s v="123 10th Street"/>
    <x v="7"/>
    <x v="7"/>
    <n v="99999"/>
    <s v="USA"/>
    <x v="6"/>
    <x v="1"/>
    <d v="2014-10-12T00:00:00"/>
    <s v="Shipping Company B"/>
    <s v="Roland Wacker"/>
    <s v="123 10th Street"/>
    <s v="Chicago"/>
    <s v="IL"/>
    <n v="99999"/>
    <s v="USA"/>
    <x v="1"/>
    <x v="10"/>
    <x v="0"/>
    <n v="2.99"/>
    <n v="32"/>
    <x v="220"/>
    <n v="9.7593600000000009"/>
  </r>
  <r>
    <n v="1286"/>
    <x v="113"/>
    <n v="7"/>
    <x v="9"/>
    <s v="123 7th Street"/>
    <x v="8"/>
    <x v="8"/>
    <n v="99999"/>
    <s v="USA"/>
    <x v="2"/>
    <x v="2"/>
    <m/>
    <m/>
    <s v="Ming-Yang Xie"/>
    <s v="123 7th Street"/>
    <s v="Boise"/>
    <s v="ID"/>
    <n v="99999"/>
    <s v="USA"/>
    <x v="3"/>
    <x v="5"/>
    <x v="0"/>
    <n v="46"/>
    <n v="62"/>
    <x v="221"/>
    <n v="290.904"/>
  </r>
  <r>
    <n v="1287"/>
    <x v="112"/>
    <n v="10"/>
    <x v="8"/>
    <s v="123 10th Street"/>
    <x v="7"/>
    <x v="7"/>
    <n v="99999"/>
    <s v="USA"/>
    <x v="6"/>
    <x v="1"/>
    <d v="2014-10-12T00:00:00"/>
    <s v="Shipping Company A"/>
    <s v="Roland Wacker"/>
    <s v="123 10th Street"/>
    <s v="Chicago"/>
    <s v="IL"/>
    <n v="99999"/>
    <s v="USA"/>
    <x v="3"/>
    <x v="11"/>
    <x v="6"/>
    <n v="25"/>
    <n v="60"/>
    <x v="222"/>
    <n v="154.5"/>
  </r>
  <r>
    <n v="1288"/>
    <x v="112"/>
    <n v="10"/>
    <x v="8"/>
    <s v="123 10th Street"/>
    <x v="7"/>
    <x v="7"/>
    <n v="99999"/>
    <s v="USA"/>
    <x v="6"/>
    <x v="1"/>
    <d v="2014-10-12T00:00:00"/>
    <s v="Shipping Company A"/>
    <s v="Roland Wacker"/>
    <s v="123 10th Street"/>
    <s v="Chicago"/>
    <s v="IL"/>
    <n v="99999"/>
    <s v="USA"/>
    <x v="3"/>
    <x v="12"/>
    <x v="7"/>
    <n v="22"/>
    <n v="51"/>
    <x v="223"/>
    <n v="109.956"/>
  </r>
  <r>
    <n v="1289"/>
    <x v="112"/>
    <n v="10"/>
    <x v="8"/>
    <s v="123 10th Street"/>
    <x v="7"/>
    <x v="7"/>
    <n v="99999"/>
    <s v="USA"/>
    <x v="6"/>
    <x v="1"/>
    <d v="2014-10-12T00:00:00"/>
    <s v="Shipping Company A"/>
    <s v="Roland Wacker"/>
    <s v="123 10th Street"/>
    <s v="Chicago"/>
    <s v="IL"/>
    <n v="99999"/>
    <s v="USA"/>
    <x v="3"/>
    <x v="6"/>
    <x v="2"/>
    <n v="9.1999999999999993"/>
    <n v="49"/>
    <x v="224"/>
    <n v="44.629199999999997"/>
  </r>
  <r>
    <n v="1290"/>
    <x v="114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1"/>
    <x v="1"/>
    <n v="3.5"/>
    <n v="20"/>
    <x v="225"/>
    <n v="6.93"/>
  </r>
  <r>
    <n v="1291"/>
    <x v="114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10"/>
    <x v="0"/>
    <n v="2.99"/>
    <n v="49"/>
    <x v="20"/>
    <n v="14.651000000000003"/>
  </r>
  <r>
    <n v="1292"/>
    <x v="115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4"/>
    <x v="0"/>
    <n v="18"/>
    <n v="22"/>
    <x v="226"/>
    <n v="38.015999999999998"/>
  </r>
  <r>
    <n v="1293"/>
    <x v="115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5"/>
    <x v="0"/>
    <n v="46"/>
    <n v="73"/>
    <x v="227"/>
    <n v="339.15800000000002"/>
  </r>
  <r>
    <n v="1294"/>
    <x v="115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10"/>
    <x v="0"/>
    <n v="2.99"/>
    <n v="85"/>
    <x v="228"/>
    <n v="24.652550000000002"/>
  </r>
  <r>
    <n v="1295"/>
    <x v="110"/>
    <n v="28"/>
    <x v="7"/>
    <s v="789 28th Street"/>
    <x v="6"/>
    <x v="6"/>
    <n v="99999"/>
    <s v="USA"/>
    <x v="5"/>
    <x v="3"/>
    <d v="2014-10-30T00:00:00"/>
    <s v="Shipping Company C"/>
    <s v="Amritansh Raghav"/>
    <s v="789 28th Street"/>
    <s v="Memphis"/>
    <s v="TN"/>
    <n v="99999"/>
    <s v="USA"/>
    <x v="1"/>
    <x v="8"/>
    <x v="4"/>
    <n v="9.65"/>
    <n v="44"/>
    <x v="229"/>
    <n v="44.158400000000007"/>
  </r>
  <r>
    <n v="1296"/>
    <x v="110"/>
    <n v="28"/>
    <x v="7"/>
    <s v="789 28th Street"/>
    <x v="6"/>
    <x v="6"/>
    <n v="99999"/>
    <s v="USA"/>
    <x v="5"/>
    <x v="3"/>
    <d v="2014-10-30T00:00:00"/>
    <s v="Shipping Company C"/>
    <s v="Amritansh Raghav"/>
    <s v="789 28th Street"/>
    <s v="Memphis"/>
    <s v="TN"/>
    <n v="99999"/>
    <s v="USA"/>
    <x v="1"/>
    <x v="13"/>
    <x v="8"/>
    <n v="18.399999999999999"/>
    <n v="24"/>
    <x v="230"/>
    <n v="42.835199999999993"/>
  </r>
  <r>
    <n v="1297"/>
    <x v="116"/>
    <n v="9"/>
    <x v="12"/>
    <s v="123 9th Street"/>
    <x v="11"/>
    <x v="11"/>
    <n v="99999"/>
    <s v="USA"/>
    <x v="7"/>
    <x v="0"/>
    <d v="2014-10-11T00:00:00"/>
    <s v="Shipping Company A"/>
    <s v="Sven Mortensen"/>
    <s v="123 9th Street"/>
    <s v="Salt Lake City"/>
    <s v="UT"/>
    <n v="99999"/>
    <s v="USA"/>
    <x v="0"/>
    <x v="14"/>
    <x v="9"/>
    <n v="19.5"/>
    <n v="64"/>
    <x v="231"/>
    <n v="119.80800000000001"/>
  </r>
  <r>
    <n v="1298"/>
    <x v="116"/>
    <n v="9"/>
    <x v="12"/>
    <s v="123 9th Street"/>
    <x v="11"/>
    <x v="11"/>
    <n v="99999"/>
    <s v="USA"/>
    <x v="7"/>
    <x v="0"/>
    <d v="2014-10-11T00:00:00"/>
    <s v="Shipping Company A"/>
    <s v="Sven Mortensen"/>
    <s v="123 9th Street"/>
    <s v="Salt Lake City"/>
    <s v="UT"/>
    <n v="99999"/>
    <s v="USA"/>
    <x v="0"/>
    <x v="15"/>
    <x v="10"/>
    <n v="34.799999999999997"/>
    <n v="70"/>
    <x v="232"/>
    <n v="246.03600000000003"/>
  </r>
  <r>
    <n v="1299"/>
    <x v="109"/>
    <n v="6"/>
    <x v="6"/>
    <s v="123 6th Street"/>
    <x v="5"/>
    <x v="5"/>
    <n v="99999"/>
    <s v="USA"/>
    <x v="4"/>
    <x v="2"/>
    <d v="2014-10-08T00:00:00"/>
    <s v="Shipping Company B"/>
    <s v="Francisco Pérez-Olaeta"/>
    <s v="123 6th Street"/>
    <s v="Milwaukee"/>
    <s v="WI"/>
    <n v="99999"/>
    <s v="USA"/>
    <x v="1"/>
    <x v="0"/>
    <x v="0"/>
    <n v="14"/>
    <n v="98"/>
    <x v="233"/>
    <n v="138.57200000000003"/>
  </r>
  <r>
    <n v="1300"/>
    <x v="111"/>
    <n v="8"/>
    <x v="3"/>
    <s v="123 8th Street"/>
    <x v="2"/>
    <x v="2"/>
    <n v="99999"/>
    <s v="USA"/>
    <x v="2"/>
    <x v="2"/>
    <d v="2014-10-10T00:00:00"/>
    <s v="Shipping Company B"/>
    <s v="Elizabeth Andersen"/>
    <s v="123 8th Street"/>
    <s v="Portland"/>
    <s v="OR"/>
    <n v="99999"/>
    <s v="USA"/>
    <x v="0"/>
    <x v="9"/>
    <x v="5"/>
    <n v="40"/>
    <n v="48"/>
    <x v="208"/>
    <n v="188.16"/>
  </r>
  <r>
    <n v="1301"/>
    <x v="111"/>
    <n v="8"/>
    <x v="3"/>
    <s v="123 8th Street"/>
    <x v="2"/>
    <x v="2"/>
    <n v="99999"/>
    <s v="USA"/>
    <x v="2"/>
    <x v="2"/>
    <d v="2014-10-10T00:00:00"/>
    <s v="Shipping Company B"/>
    <s v="Elizabeth Andersen"/>
    <s v="123 8th Street"/>
    <s v="Portland"/>
    <s v="OR"/>
    <n v="99999"/>
    <s v="USA"/>
    <x v="0"/>
    <x v="6"/>
    <x v="2"/>
    <n v="9.1999999999999993"/>
    <n v="100"/>
    <x v="234"/>
    <n v="91.08"/>
  </r>
  <r>
    <n v="1302"/>
    <x v="117"/>
    <n v="25"/>
    <x v="13"/>
    <s v="789 25th Street"/>
    <x v="7"/>
    <x v="7"/>
    <n v="99999"/>
    <s v="USA"/>
    <x v="6"/>
    <x v="1"/>
    <d v="2014-10-27T00:00:00"/>
    <s v="Shipping Company A"/>
    <s v="John Rodman"/>
    <s v="789 25th Street"/>
    <s v="Chicago"/>
    <s v="IL"/>
    <n v="99999"/>
    <s v="USA"/>
    <x v="2"/>
    <x v="21"/>
    <x v="2"/>
    <n v="10"/>
    <n v="90"/>
    <x v="235"/>
    <n v="87.3"/>
  </r>
  <r>
    <n v="1303"/>
    <x v="118"/>
    <n v="26"/>
    <x v="14"/>
    <s v="789 26th Street"/>
    <x v="9"/>
    <x v="9"/>
    <n v="99999"/>
    <s v="USA"/>
    <x v="5"/>
    <x v="3"/>
    <d v="2014-10-28T00:00:00"/>
    <s v="Shipping Company C"/>
    <s v="Run Liu"/>
    <s v="789 26th Street"/>
    <s v="Miami"/>
    <s v="FL"/>
    <n v="99999"/>
    <s v="USA"/>
    <x v="1"/>
    <x v="22"/>
    <x v="13"/>
    <n v="21.35"/>
    <n v="49"/>
    <x v="236"/>
    <n v="102.5227"/>
  </r>
  <r>
    <n v="1304"/>
    <x v="118"/>
    <n v="26"/>
    <x v="14"/>
    <s v="789 26th Street"/>
    <x v="9"/>
    <x v="9"/>
    <n v="99999"/>
    <s v="USA"/>
    <x v="5"/>
    <x v="3"/>
    <d v="2014-10-28T00:00:00"/>
    <s v="Shipping Company C"/>
    <s v="Run Liu"/>
    <s v="789 26th Street"/>
    <s v="Miami"/>
    <s v="FL"/>
    <n v="99999"/>
    <s v="USA"/>
    <x v="1"/>
    <x v="8"/>
    <x v="4"/>
    <n v="9.65"/>
    <n v="71"/>
    <x v="237"/>
    <n v="65.7744"/>
  </r>
  <r>
    <n v="1305"/>
    <x v="118"/>
    <n v="26"/>
    <x v="14"/>
    <s v="789 26th Street"/>
    <x v="9"/>
    <x v="9"/>
    <n v="99999"/>
    <s v="USA"/>
    <x v="5"/>
    <x v="3"/>
    <d v="2014-10-28T00:00:00"/>
    <s v="Shipping Company C"/>
    <s v="Run Liu"/>
    <s v="789 26th Street"/>
    <s v="Miami"/>
    <s v="FL"/>
    <n v="99999"/>
    <s v="USA"/>
    <x v="1"/>
    <x v="13"/>
    <x v="8"/>
    <n v="18.399999999999999"/>
    <n v="10"/>
    <x v="238"/>
    <n v="19.136000000000003"/>
  </r>
  <r>
    <n v="1306"/>
    <x v="119"/>
    <n v="29"/>
    <x v="4"/>
    <s v="789 29th Street"/>
    <x v="3"/>
    <x v="3"/>
    <n v="99999"/>
    <s v="USA"/>
    <x v="3"/>
    <x v="0"/>
    <d v="2014-10-31T00:00:00"/>
    <s v="Shipping Company B"/>
    <s v="Soo Jung Lee"/>
    <s v="789 29th Street"/>
    <s v="Denver"/>
    <s v="CO"/>
    <n v="99999"/>
    <s v="USA"/>
    <x v="0"/>
    <x v="0"/>
    <x v="0"/>
    <n v="14"/>
    <n v="78"/>
    <x v="239"/>
    <n v="112.476"/>
  </r>
  <r>
    <n v="1307"/>
    <x v="109"/>
    <n v="6"/>
    <x v="6"/>
    <s v="123 6th Street"/>
    <x v="5"/>
    <x v="5"/>
    <n v="99999"/>
    <s v="USA"/>
    <x v="4"/>
    <x v="2"/>
    <d v="2014-10-08T00:00:00"/>
    <s v="Shipping Company C"/>
    <s v="Francisco Pérez-Olaeta"/>
    <s v="123 6th Street"/>
    <s v="Milwaukee"/>
    <s v="WI"/>
    <n v="99999"/>
    <s v="USA"/>
    <x v="0"/>
    <x v="7"/>
    <x v="3"/>
    <n v="12.75"/>
    <n v="44"/>
    <x v="134"/>
    <n v="53.856000000000002"/>
  </r>
  <r>
    <n v="1309"/>
    <x v="120"/>
    <n v="4"/>
    <x v="1"/>
    <s v="123 4th Street"/>
    <x v="1"/>
    <x v="1"/>
    <n v="99999"/>
    <s v="USA"/>
    <x v="1"/>
    <x v="1"/>
    <d v="2014-10-06T00:00:00"/>
    <s v="Shipping Company A"/>
    <s v="Christina Lee"/>
    <s v="123 4th Street"/>
    <s v="New York"/>
    <s v="NY"/>
    <n v="99999"/>
    <s v="USA"/>
    <x v="1"/>
    <x v="23"/>
    <x v="6"/>
    <n v="81"/>
    <n v="82"/>
    <x v="240"/>
    <n v="697.41000000000008"/>
  </r>
  <r>
    <n v="1310"/>
    <x v="120"/>
    <n v="4"/>
    <x v="1"/>
    <s v="123 4th Street"/>
    <x v="1"/>
    <x v="1"/>
    <n v="99999"/>
    <s v="USA"/>
    <x v="1"/>
    <x v="1"/>
    <d v="2014-10-06T00:00:00"/>
    <s v="Shipping Company A"/>
    <s v="Christina Lee"/>
    <s v="123 4th Street"/>
    <s v="New York"/>
    <s v="NY"/>
    <n v="99999"/>
    <s v="USA"/>
    <x v="1"/>
    <x v="24"/>
    <x v="14"/>
    <n v="7"/>
    <n v="29"/>
    <x v="241"/>
    <n v="20.3"/>
  </r>
  <r>
    <n v="1312"/>
    <x v="111"/>
    <n v="8"/>
    <x v="3"/>
    <s v="123 8th Street"/>
    <x v="2"/>
    <x v="2"/>
    <n v="99999"/>
    <s v="USA"/>
    <x v="2"/>
    <x v="2"/>
    <d v="2014-10-10T00:00:00"/>
    <s v="Shipping Company C"/>
    <s v="Elizabeth Andersen"/>
    <s v="123 8th Street"/>
    <s v="Portland"/>
    <s v="OR"/>
    <n v="99999"/>
    <s v="USA"/>
    <x v="1"/>
    <x v="15"/>
    <x v="10"/>
    <n v="34.799999999999997"/>
    <n v="93"/>
    <x v="242"/>
    <n v="313.93079999999998"/>
  </r>
  <r>
    <n v="1315"/>
    <x v="121"/>
    <n v="3"/>
    <x v="5"/>
    <s v="123 3rd Street"/>
    <x v="4"/>
    <x v="4"/>
    <n v="99999"/>
    <s v="USA"/>
    <x v="0"/>
    <x v="0"/>
    <d v="2014-10-05T00:00:00"/>
    <s v="Shipping Company B"/>
    <s v="Thomas Axerr"/>
    <s v="123 3rd Street"/>
    <s v="Los Angelas"/>
    <s v="CA"/>
    <n v="99999"/>
    <s v="USA"/>
    <x v="2"/>
    <x v="16"/>
    <x v="7"/>
    <n v="10"/>
    <n v="11"/>
    <x v="243"/>
    <n v="11.440000000000001"/>
  </r>
  <r>
    <n v="1316"/>
    <x v="121"/>
    <n v="3"/>
    <x v="5"/>
    <s v="123 3rd Street"/>
    <x v="4"/>
    <x v="4"/>
    <n v="99999"/>
    <s v="USA"/>
    <x v="0"/>
    <x v="0"/>
    <d v="2014-10-05T00:00:00"/>
    <s v="Shipping Company B"/>
    <s v="Thomas Axerr"/>
    <s v="123 3rd Street"/>
    <s v="Los Angelas"/>
    <s v="CA"/>
    <n v="99999"/>
    <s v="USA"/>
    <x v="2"/>
    <x v="9"/>
    <x v="5"/>
    <n v="40"/>
    <n v="91"/>
    <x v="157"/>
    <n v="364"/>
  </r>
  <r>
    <n v="1320"/>
    <x v="112"/>
    <n v="10"/>
    <x v="8"/>
    <s v="123 10th Street"/>
    <x v="7"/>
    <x v="7"/>
    <n v="99999"/>
    <s v="USA"/>
    <x v="6"/>
    <x v="1"/>
    <d v="2014-10-12T00:00:00"/>
    <s v="Shipping Company B"/>
    <s v="Roland Wacker"/>
    <s v="123 10th Street"/>
    <s v="Chicago"/>
    <s v="IL"/>
    <n v="99999"/>
    <s v="USA"/>
    <x v="1"/>
    <x v="18"/>
    <x v="1"/>
    <n v="10"/>
    <n v="12"/>
    <x v="244"/>
    <n v="12.36"/>
  </r>
  <r>
    <n v="1322"/>
    <x v="112"/>
    <n v="10"/>
    <x v="8"/>
    <s v="123 10th Street"/>
    <x v="7"/>
    <x v="7"/>
    <n v="99999"/>
    <s v="USA"/>
    <x v="6"/>
    <x v="1"/>
    <m/>
    <s v="Shipping Company A"/>
    <s v="Roland Wacker"/>
    <s v="123 10th Street"/>
    <s v="Chicago"/>
    <s v="IL"/>
    <n v="99999"/>
    <s v="USA"/>
    <x v="3"/>
    <x v="1"/>
    <x v="1"/>
    <n v="3.5"/>
    <n v="78"/>
    <x v="214"/>
    <n v="27.3"/>
  </r>
  <r>
    <n v="1323"/>
    <x v="114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9"/>
    <x v="5"/>
    <n v="40"/>
    <n v="60"/>
    <x v="245"/>
    <n v="228"/>
  </r>
  <r>
    <n v="1324"/>
    <x v="115"/>
    <n v="1"/>
    <x v="11"/>
    <s v="123 1st Street"/>
    <x v="10"/>
    <x v="10"/>
    <n v="99999"/>
    <s v="USA"/>
    <x v="2"/>
    <x v="2"/>
    <m/>
    <s v="Shipping Company C"/>
    <s v="Anna Bedecs"/>
    <s v="123 1st Street"/>
    <s v="Seattle"/>
    <s v="WA"/>
    <n v="99999"/>
    <s v="USA"/>
    <x v="3"/>
    <x v="13"/>
    <x v="8"/>
    <n v="18.399999999999999"/>
    <n v="23"/>
    <x v="246"/>
    <n v="43.589600000000004"/>
  </r>
  <r>
    <n v="1325"/>
    <x v="110"/>
    <n v="28"/>
    <x v="7"/>
    <s v="789 28th Street"/>
    <x v="6"/>
    <x v="6"/>
    <n v="99999"/>
    <s v="USA"/>
    <x v="5"/>
    <x v="3"/>
    <d v="2014-10-30T00:00:00"/>
    <s v="Shipping Company C"/>
    <s v="Amritansh Raghav"/>
    <s v="789 28th Street"/>
    <s v="Memphis"/>
    <s v="TN"/>
    <n v="99999"/>
    <s v="USA"/>
    <x v="1"/>
    <x v="5"/>
    <x v="0"/>
    <n v="46"/>
    <n v="34"/>
    <x v="247"/>
    <n v="157.964"/>
  </r>
  <r>
    <n v="1326"/>
    <x v="116"/>
    <n v="9"/>
    <x v="12"/>
    <s v="123 9th Street"/>
    <x v="11"/>
    <x v="11"/>
    <n v="99999"/>
    <s v="USA"/>
    <x v="7"/>
    <x v="0"/>
    <d v="2014-10-11T00:00:00"/>
    <s v="Shipping Company A"/>
    <s v="Sven Mortensen"/>
    <s v="123 9th Street"/>
    <s v="Salt Lake City"/>
    <s v="UT"/>
    <n v="99999"/>
    <s v="USA"/>
    <x v="0"/>
    <x v="8"/>
    <x v="4"/>
    <n v="9.65"/>
    <n v="89"/>
    <x v="248"/>
    <n v="86.743850000000009"/>
  </r>
  <r>
    <n v="1327"/>
    <x v="109"/>
    <n v="6"/>
    <x v="6"/>
    <s v="123 6th Street"/>
    <x v="5"/>
    <x v="5"/>
    <n v="99999"/>
    <s v="USA"/>
    <x v="4"/>
    <x v="2"/>
    <d v="2014-10-08T00:00:00"/>
    <s v="Shipping Company B"/>
    <s v="Francisco Pérez-Olaeta"/>
    <s v="123 6th Street"/>
    <s v="Milwaukee"/>
    <s v="WI"/>
    <n v="99999"/>
    <s v="USA"/>
    <x v="1"/>
    <x v="7"/>
    <x v="3"/>
    <n v="12.75"/>
    <n v="82"/>
    <x v="249"/>
    <n v="103.50450000000001"/>
  </r>
  <r>
    <n v="1328"/>
    <x v="111"/>
    <n v="8"/>
    <x v="3"/>
    <s v="123 8th Street"/>
    <x v="2"/>
    <x v="2"/>
    <n v="99999"/>
    <s v="USA"/>
    <x v="2"/>
    <x v="2"/>
    <d v="2014-10-10T00:00:00"/>
    <s v="Shipping Company B"/>
    <s v="Elizabeth Andersen"/>
    <s v="123 8th Street"/>
    <s v="Portland"/>
    <s v="OR"/>
    <n v="99999"/>
    <s v="USA"/>
    <x v="0"/>
    <x v="7"/>
    <x v="3"/>
    <n v="12.75"/>
    <n v="43"/>
    <x v="250"/>
    <n v="52.631999999999998"/>
  </r>
  <r>
    <n v="1329"/>
    <x v="122"/>
    <n v="10"/>
    <x v="8"/>
    <s v="123 10th Street"/>
    <x v="7"/>
    <x v="7"/>
    <n v="99999"/>
    <s v="USA"/>
    <x v="6"/>
    <x v="1"/>
    <d v="2014-11-12T00:00:00"/>
    <s v="Shipping Company A"/>
    <s v="Roland Wacker"/>
    <s v="123 10th Street"/>
    <s v="Chicago"/>
    <s v="IL"/>
    <n v="99999"/>
    <s v="USA"/>
    <x v="3"/>
    <x v="12"/>
    <x v="7"/>
    <n v="22"/>
    <n v="96"/>
    <x v="251"/>
    <n v="221.76000000000002"/>
  </r>
  <r>
    <n v="1330"/>
    <x v="122"/>
    <n v="10"/>
    <x v="8"/>
    <s v="123 10th Street"/>
    <x v="7"/>
    <x v="7"/>
    <n v="99999"/>
    <s v="USA"/>
    <x v="6"/>
    <x v="1"/>
    <d v="2014-11-12T00:00:00"/>
    <s v="Shipping Company A"/>
    <s v="Roland Wacker"/>
    <s v="123 10th Street"/>
    <s v="Chicago"/>
    <s v="IL"/>
    <n v="99999"/>
    <s v="USA"/>
    <x v="3"/>
    <x v="6"/>
    <x v="2"/>
    <n v="9.1999999999999993"/>
    <n v="34"/>
    <x v="252"/>
    <n v="31.279999999999998"/>
  </r>
  <r>
    <n v="1331"/>
    <x v="123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1"/>
    <x v="1"/>
    <n v="3.5"/>
    <n v="42"/>
    <x v="253"/>
    <n v="15.141000000000002"/>
  </r>
  <r>
    <n v="1332"/>
    <x v="123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10"/>
    <x v="0"/>
    <n v="2.99"/>
    <n v="100"/>
    <x v="254"/>
    <n v="30.498000000000001"/>
  </r>
  <r>
    <n v="1333"/>
    <x v="124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4"/>
    <x v="0"/>
    <n v="18"/>
    <n v="42"/>
    <x v="21"/>
    <n v="76.356000000000009"/>
  </r>
  <r>
    <n v="1334"/>
    <x v="124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5"/>
    <x v="0"/>
    <n v="46"/>
    <n v="16"/>
    <x v="129"/>
    <n v="70.656000000000006"/>
  </r>
  <r>
    <n v="1335"/>
    <x v="124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10"/>
    <x v="0"/>
    <n v="2.99"/>
    <n v="22"/>
    <x v="255"/>
    <n v="6.3806599999999998"/>
  </r>
  <r>
    <n v="1336"/>
    <x v="125"/>
    <n v="28"/>
    <x v="7"/>
    <s v="789 28th Street"/>
    <x v="6"/>
    <x v="6"/>
    <n v="99999"/>
    <s v="USA"/>
    <x v="5"/>
    <x v="3"/>
    <d v="2014-11-30T00:00:00"/>
    <s v="Shipping Company C"/>
    <s v="Amritansh Raghav"/>
    <s v="789 28th Street"/>
    <s v="Memphis"/>
    <s v="TN"/>
    <n v="99999"/>
    <s v="USA"/>
    <x v="1"/>
    <x v="8"/>
    <x v="4"/>
    <n v="9.65"/>
    <n v="46"/>
    <x v="256"/>
    <n v="45.721700000000006"/>
  </r>
  <r>
    <n v="1337"/>
    <x v="125"/>
    <n v="28"/>
    <x v="7"/>
    <s v="789 28th Street"/>
    <x v="6"/>
    <x v="6"/>
    <n v="99999"/>
    <s v="USA"/>
    <x v="5"/>
    <x v="3"/>
    <n v="41973"/>
    <s v="Shipping Company C"/>
    <s v="Amritansh Raghav"/>
    <s v="789 28th Street"/>
    <s v="Memphis"/>
    <s v="TN"/>
    <n v="99999"/>
    <s v="USA"/>
    <x v="1"/>
    <x v="13"/>
    <x v="8"/>
    <n v="18.399999999999999"/>
    <n v="100"/>
    <x v="257"/>
    <n v="184"/>
  </r>
  <r>
    <n v="1338"/>
    <x v="126"/>
    <n v="9"/>
    <x v="12"/>
    <s v="123 9th Street"/>
    <x v="11"/>
    <x v="11"/>
    <n v="99999"/>
    <s v="USA"/>
    <x v="7"/>
    <x v="0"/>
    <n v="41954"/>
    <s v="Shipping Company A"/>
    <s v="Sven Mortensen"/>
    <s v="123 9th Street"/>
    <s v="Salt Lake City"/>
    <s v="UT"/>
    <n v="99999"/>
    <s v="USA"/>
    <x v="0"/>
    <x v="14"/>
    <x v="9"/>
    <n v="19.5"/>
    <n v="87"/>
    <x v="258"/>
    <n v="174.73950000000002"/>
  </r>
  <r>
    <n v="1339"/>
    <x v="126"/>
    <n v="9"/>
    <x v="12"/>
    <s v="123 9th Street"/>
    <x v="11"/>
    <x v="11"/>
    <n v="99999"/>
    <s v="USA"/>
    <x v="7"/>
    <x v="0"/>
    <n v="41954"/>
    <s v="Shipping Company A"/>
    <s v="Sven Mortensen"/>
    <s v="123 9th Street"/>
    <s v="Salt Lake City"/>
    <s v="UT"/>
    <n v="99999"/>
    <s v="USA"/>
    <x v="0"/>
    <x v="15"/>
    <x v="10"/>
    <n v="34.799999999999997"/>
    <n v="58"/>
    <x v="259"/>
    <n v="205.8768"/>
  </r>
  <r>
    <n v="1340"/>
    <x v="127"/>
    <n v="6"/>
    <x v="6"/>
    <s v="123 6th Street"/>
    <x v="5"/>
    <x v="5"/>
    <n v="99999"/>
    <s v="USA"/>
    <x v="4"/>
    <x v="2"/>
    <n v="41951"/>
    <s v="Shipping Company B"/>
    <s v="Francisco Pérez-Olaeta"/>
    <s v="123 6th Street"/>
    <s v="Milwaukee"/>
    <s v="WI"/>
    <n v="99999"/>
    <s v="USA"/>
    <x v="1"/>
    <x v="0"/>
    <x v="0"/>
    <n v="14"/>
    <n v="85"/>
    <x v="260"/>
    <n v="120.19"/>
  </r>
  <r>
    <n v="1341"/>
    <x v="128"/>
    <n v="8"/>
    <x v="3"/>
    <s v="123 8th Street"/>
    <x v="2"/>
    <x v="2"/>
    <n v="99999"/>
    <s v="USA"/>
    <x v="2"/>
    <x v="2"/>
    <n v="41953"/>
    <s v="Shipping Company B"/>
    <s v="Elizabeth Andersen"/>
    <s v="123 8th Street"/>
    <s v="Portland"/>
    <s v="OR"/>
    <n v="99999"/>
    <s v="USA"/>
    <x v="0"/>
    <x v="9"/>
    <x v="5"/>
    <n v="40"/>
    <n v="28"/>
    <x v="139"/>
    <n v="110.88"/>
  </r>
  <r>
    <n v="1342"/>
    <x v="128"/>
    <n v="8"/>
    <x v="3"/>
    <s v="123 8th Street"/>
    <x v="2"/>
    <x v="2"/>
    <n v="99999"/>
    <s v="USA"/>
    <x v="2"/>
    <x v="2"/>
    <d v="2014-11-10T00:00:00"/>
    <s v="Shipping Company B"/>
    <s v="Elizabeth Andersen"/>
    <s v="123 8th Street"/>
    <s v="Portland"/>
    <s v="OR"/>
    <n v="99999"/>
    <s v="USA"/>
    <x v="0"/>
    <x v="6"/>
    <x v="2"/>
    <n v="9.1999999999999993"/>
    <n v="19"/>
    <x v="261"/>
    <n v="17.130400000000002"/>
  </r>
  <r>
    <n v="1343"/>
    <x v="129"/>
    <n v="25"/>
    <x v="13"/>
    <s v="789 25th Street"/>
    <x v="7"/>
    <x v="7"/>
    <n v="99999"/>
    <s v="USA"/>
    <x v="6"/>
    <x v="1"/>
    <d v="2014-11-27T00:00:00"/>
    <s v="Shipping Company A"/>
    <s v="John Rodman"/>
    <s v="789 25th Street"/>
    <s v="Chicago"/>
    <s v="IL"/>
    <n v="99999"/>
    <s v="USA"/>
    <x v="2"/>
    <x v="21"/>
    <x v="2"/>
    <n v="10"/>
    <n v="99"/>
    <x v="82"/>
    <n v="102.96000000000001"/>
  </r>
  <r>
    <n v="1344"/>
    <x v="130"/>
    <n v="26"/>
    <x v="14"/>
    <s v="789 26th Street"/>
    <x v="9"/>
    <x v="9"/>
    <n v="99999"/>
    <s v="USA"/>
    <x v="5"/>
    <x v="3"/>
    <d v="2014-11-28T00:00:00"/>
    <s v="Shipping Company C"/>
    <s v="Run Liu"/>
    <s v="789 26th Street"/>
    <s v="Miami"/>
    <s v="FL"/>
    <n v="99999"/>
    <s v="USA"/>
    <x v="1"/>
    <x v="22"/>
    <x v="13"/>
    <n v="21.35"/>
    <n v="69"/>
    <x v="262"/>
    <n v="153.20760000000004"/>
  </r>
  <r>
    <n v="1345"/>
    <x v="130"/>
    <n v="26"/>
    <x v="14"/>
    <s v="789 26th Street"/>
    <x v="9"/>
    <x v="9"/>
    <n v="99999"/>
    <s v="USA"/>
    <x v="5"/>
    <x v="3"/>
    <d v="2014-11-28T00:00:00"/>
    <s v="Shipping Company C"/>
    <s v="Run Liu"/>
    <s v="789 26th Street"/>
    <s v="Miami"/>
    <s v="FL"/>
    <n v="99999"/>
    <s v="USA"/>
    <x v="1"/>
    <x v="8"/>
    <x v="4"/>
    <n v="9.65"/>
    <n v="37"/>
    <x v="263"/>
    <n v="33.919750000000001"/>
  </r>
  <r>
    <n v="1346"/>
    <x v="130"/>
    <n v="26"/>
    <x v="14"/>
    <s v="789 26th Street"/>
    <x v="9"/>
    <x v="9"/>
    <n v="99999"/>
    <s v="USA"/>
    <x v="5"/>
    <x v="3"/>
    <d v="2014-11-28T00:00:00"/>
    <s v="Shipping Company C"/>
    <s v="Run Liu"/>
    <s v="789 26th Street"/>
    <s v="Miami"/>
    <s v="FL"/>
    <n v="99999"/>
    <s v="USA"/>
    <x v="1"/>
    <x v="13"/>
    <x v="8"/>
    <n v="18.399999999999999"/>
    <n v="64"/>
    <x v="107"/>
    <n v="118.93759999999999"/>
  </r>
  <r>
    <n v="1347"/>
    <x v="131"/>
    <n v="29"/>
    <x v="4"/>
    <s v="789 29th Street"/>
    <x v="3"/>
    <x v="3"/>
    <n v="99999"/>
    <s v="USA"/>
    <x v="3"/>
    <x v="0"/>
    <d v="2014-12-01T00:00:00"/>
    <s v="Shipping Company B"/>
    <s v="Soo Jung Lee"/>
    <s v="789 29th Street"/>
    <s v="Denver"/>
    <s v="CO"/>
    <n v="99999"/>
    <s v="USA"/>
    <x v="0"/>
    <x v="0"/>
    <x v="0"/>
    <n v="14"/>
    <n v="38"/>
    <x v="197"/>
    <n v="55.328000000000003"/>
  </r>
  <r>
    <n v="1348"/>
    <x v="127"/>
    <n v="6"/>
    <x v="6"/>
    <s v="123 6th Street"/>
    <x v="5"/>
    <x v="5"/>
    <n v="99999"/>
    <s v="USA"/>
    <x v="4"/>
    <x v="2"/>
    <d v="2014-11-08T00:00:00"/>
    <s v="Shipping Company C"/>
    <s v="Francisco Pérez-Olaeta"/>
    <s v="123 6th Street"/>
    <s v="Milwaukee"/>
    <s v="WI"/>
    <n v="99999"/>
    <s v="USA"/>
    <x v="0"/>
    <x v="7"/>
    <x v="3"/>
    <n v="12.75"/>
    <n v="15"/>
    <x v="264"/>
    <n v="18.55125"/>
  </r>
  <r>
    <n v="1350"/>
    <x v="132"/>
    <n v="4"/>
    <x v="1"/>
    <s v="123 4th Street"/>
    <x v="1"/>
    <x v="1"/>
    <n v="99999"/>
    <s v="USA"/>
    <x v="1"/>
    <x v="1"/>
    <d v="2014-11-06T00:00:00"/>
    <s v="Shipping Company A"/>
    <s v="Christina Lee"/>
    <s v="123 4th Street"/>
    <s v="New York"/>
    <s v="NY"/>
    <n v="99999"/>
    <s v="USA"/>
    <x v="1"/>
    <x v="23"/>
    <x v="6"/>
    <n v="81"/>
    <n v="52"/>
    <x v="265"/>
    <n v="412.77600000000001"/>
  </r>
  <r>
    <n v="1351"/>
    <x v="132"/>
    <n v="4"/>
    <x v="1"/>
    <s v="123 4th Street"/>
    <x v="1"/>
    <x v="1"/>
    <n v="99999"/>
    <s v="USA"/>
    <x v="1"/>
    <x v="1"/>
    <d v="2014-11-06T00:00:00"/>
    <s v="Shipping Company A"/>
    <s v="Christina Lee"/>
    <s v="123 4th Street"/>
    <s v="New York"/>
    <s v="NY"/>
    <n v="99999"/>
    <s v="USA"/>
    <x v="1"/>
    <x v="24"/>
    <x v="14"/>
    <n v="7"/>
    <n v="37"/>
    <x v="58"/>
    <n v="25.382000000000001"/>
  </r>
  <r>
    <n v="1353"/>
    <x v="128"/>
    <n v="8"/>
    <x v="3"/>
    <s v="123 8th Street"/>
    <x v="2"/>
    <x v="2"/>
    <n v="99999"/>
    <s v="USA"/>
    <x v="2"/>
    <x v="2"/>
    <d v="2014-11-10T00:00:00"/>
    <s v="Shipping Company C"/>
    <s v="Elizabeth Andersen"/>
    <s v="123 8th Street"/>
    <s v="Portland"/>
    <s v="OR"/>
    <n v="99999"/>
    <s v="USA"/>
    <x v="1"/>
    <x v="15"/>
    <x v="10"/>
    <n v="34.799999999999997"/>
    <n v="24"/>
    <x v="266"/>
    <n v="80.179199999999994"/>
  </r>
  <r>
    <n v="1356"/>
    <x v="133"/>
    <n v="3"/>
    <x v="5"/>
    <s v="123 3rd Street"/>
    <x v="4"/>
    <x v="4"/>
    <n v="99999"/>
    <s v="USA"/>
    <x v="0"/>
    <x v="0"/>
    <d v="2014-11-05T00:00:00"/>
    <s v="Shipping Company B"/>
    <s v="Thomas Axerr"/>
    <s v="123 3rd Street"/>
    <s v="Los Angelas"/>
    <s v="CA"/>
    <n v="99999"/>
    <s v="USA"/>
    <x v="2"/>
    <x v="16"/>
    <x v="7"/>
    <n v="10"/>
    <n v="36"/>
    <x v="267"/>
    <n v="37.08"/>
  </r>
  <r>
    <n v="1357"/>
    <x v="133"/>
    <n v="3"/>
    <x v="5"/>
    <s v="123 3rd Street"/>
    <x v="4"/>
    <x v="4"/>
    <n v="99999"/>
    <s v="USA"/>
    <x v="0"/>
    <x v="0"/>
    <d v="2014-11-05T00:00:00"/>
    <s v="Shipping Company B"/>
    <s v="Thomas Axerr"/>
    <s v="123 3rd Street"/>
    <s v="Los Angelas"/>
    <s v="CA"/>
    <n v="99999"/>
    <s v="USA"/>
    <x v="2"/>
    <x v="9"/>
    <x v="5"/>
    <n v="40"/>
    <n v="24"/>
    <x v="268"/>
    <n v="96"/>
  </r>
  <r>
    <n v="1361"/>
    <x v="122"/>
    <n v="10"/>
    <x v="8"/>
    <s v="123 10th Street"/>
    <x v="7"/>
    <x v="7"/>
    <n v="99999"/>
    <s v="USA"/>
    <x v="6"/>
    <x v="1"/>
    <d v="2014-11-12T00:00:00"/>
    <s v="Shipping Company B"/>
    <s v="Roland Wacker"/>
    <s v="123 10th Street"/>
    <s v="Chicago"/>
    <s v="IL"/>
    <n v="99999"/>
    <s v="USA"/>
    <x v="1"/>
    <x v="18"/>
    <x v="1"/>
    <n v="10"/>
    <n v="20"/>
    <x v="269"/>
    <n v="20"/>
  </r>
  <r>
    <n v="1363"/>
    <x v="122"/>
    <n v="10"/>
    <x v="8"/>
    <s v="123 10th Street"/>
    <x v="7"/>
    <x v="7"/>
    <n v="99999"/>
    <s v="USA"/>
    <x v="6"/>
    <x v="1"/>
    <m/>
    <s v="Shipping Company A"/>
    <s v="Roland Wacker"/>
    <s v="123 10th Street"/>
    <s v="Chicago"/>
    <s v="IL"/>
    <n v="99999"/>
    <s v="USA"/>
    <x v="3"/>
    <x v="1"/>
    <x v="1"/>
    <n v="3.5"/>
    <n v="11"/>
    <x v="4"/>
    <n v="3.7345000000000002"/>
  </r>
  <r>
    <n v="1364"/>
    <x v="123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9"/>
    <x v="5"/>
    <n v="40"/>
    <n v="78"/>
    <x v="189"/>
    <n v="299.52"/>
  </r>
  <r>
    <n v="1365"/>
    <x v="124"/>
    <n v="1"/>
    <x v="11"/>
    <s v="123 1st Street"/>
    <x v="10"/>
    <x v="10"/>
    <n v="99999"/>
    <s v="USA"/>
    <x v="2"/>
    <x v="2"/>
    <m/>
    <s v="Shipping Company C"/>
    <s v="Anna Bedecs"/>
    <s v="123 1st Street"/>
    <s v="Seattle"/>
    <s v="WA"/>
    <n v="99999"/>
    <s v="USA"/>
    <x v="3"/>
    <x v="13"/>
    <x v="8"/>
    <n v="18.399999999999999"/>
    <n v="76"/>
    <x v="270"/>
    <n v="144.0352"/>
  </r>
  <r>
    <n v="1366"/>
    <x v="125"/>
    <n v="28"/>
    <x v="7"/>
    <s v="789 28th Street"/>
    <x v="6"/>
    <x v="6"/>
    <n v="99999"/>
    <s v="USA"/>
    <x v="5"/>
    <x v="3"/>
    <d v="2014-11-30T00:00:00"/>
    <s v="Shipping Company C"/>
    <s v="Amritansh Raghav"/>
    <s v="789 28th Street"/>
    <s v="Memphis"/>
    <s v="TN"/>
    <n v="99999"/>
    <s v="USA"/>
    <x v="1"/>
    <x v="5"/>
    <x v="0"/>
    <n v="46"/>
    <n v="57"/>
    <x v="271"/>
    <n v="272.68799999999999"/>
  </r>
  <r>
    <n v="1367"/>
    <x v="126"/>
    <n v="9"/>
    <x v="12"/>
    <s v="123 9th Street"/>
    <x v="11"/>
    <x v="11"/>
    <n v="99999"/>
    <s v="USA"/>
    <x v="7"/>
    <x v="0"/>
    <d v="2014-11-11T00:00:00"/>
    <s v="Shipping Company A"/>
    <s v="Sven Mortensen"/>
    <s v="123 9th Street"/>
    <s v="Salt Lake City"/>
    <s v="UT"/>
    <n v="99999"/>
    <s v="USA"/>
    <x v="0"/>
    <x v="8"/>
    <x v="4"/>
    <n v="9.65"/>
    <n v="14"/>
    <x v="272"/>
    <n v="12.9696"/>
  </r>
  <r>
    <n v="1368"/>
    <x v="134"/>
    <n v="27"/>
    <x v="0"/>
    <s v="789 27th Street"/>
    <x v="0"/>
    <x v="0"/>
    <n v="99999"/>
    <s v="USA"/>
    <x v="0"/>
    <x v="0"/>
    <d v="2014-12-29T00:00:00"/>
    <s v="Shipping Company B"/>
    <s v="Karen Toh"/>
    <s v="789 27th Street"/>
    <s v="Las Vegas"/>
    <s v="NV"/>
    <n v="99999"/>
    <s v="USA"/>
    <x v="0"/>
    <x v="0"/>
    <x v="0"/>
    <n v="14"/>
    <n v="14"/>
    <x v="273"/>
    <n v="19.796000000000003"/>
  </r>
  <r>
    <n v="1369"/>
    <x v="134"/>
    <n v="27"/>
    <x v="0"/>
    <s v="789 27th Street"/>
    <x v="0"/>
    <x v="0"/>
    <n v="99999"/>
    <s v="USA"/>
    <x v="0"/>
    <x v="0"/>
    <d v="2014-12-29T00:00:00"/>
    <s v="Shipping Company B"/>
    <s v="Karen Toh"/>
    <s v="789 27th Street"/>
    <s v="Las Vegas"/>
    <s v="NV"/>
    <n v="99999"/>
    <s v="USA"/>
    <x v="0"/>
    <x v="1"/>
    <x v="1"/>
    <n v="3.5"/>
    <n v="70"/>
    <x v="274"/>
    <n v="25.234999999999999"/>
  </r>
  <r>
    <n v="1370"/>
    <x v="135"/>
    <n v="4"/>
    <x v="1"/>
    <s v="123 4th Street"/>
    <x v="1"/>
    <x v="1"/>
    <n v="99999"/>
    <s v="USA"/>
    <x v="1"/>
    <x v="1"/>
    <d v="2014-12-06T00:00:00"/>
    <s v="Shipping Company A"/>
    <s v="Christina Lee"/>
    <s v="123 4th Street"/>
    <s v="New York"/>
    <s v="NY"/>
    <n v="99999"/>
    <s v="USA"/>
    <x v="1"/>
    <x v="2"/>
    <x v="1"/>
    <n v="30"/>
    <n v="100"/>
    <x v="275"/>
    <n v="291"/>
  </r>
  <r>
    <n v="1371"/>
    <x v="135"/>
    <n v="4"/>
    <x v="1"/>
    <s v="123 4th Street"/>
    <x v="1"/>
    <x v="1"/>
    <n v="99999"/>
    <s v="USA"/>
    <x v="1"/>
    <x v="1"/>
    <d v="2014-12-06T00:00:00"/>
    <s v="Shipping Company A"/>
    <s v="Christina Lee"/>
    <s v="123 4th Street"/>
    <s v="New York"/>
    <s v="NY"/>
    <n v="99999"/>
    <s v="USA"/>
    <x v="1"/>
    <x v="3"/>
    <x v="1"/>
    <n v="53"/>
    <n v="27"/>
    <x v="276"/>
    <n v="143.1"/>
  </r>
  <r>
    <n v="1372"/>
    <x v="135"/>
    <n v="4"/>
    <x v="1"/>
    <s v="123 4th Street"/>
    <x v="1"/>
    <x v="1"/>
    <n v="99999"/>
    <s v="USA"/>
    <x v="1"/>
    <x v="1"/>
    <d v="2014-12-06T00:00:00"/>
    <s v="Shipping Company A"/>
    <s v="Christina Lee"/>
    <s v="123 4th Street"/>
    <s v="New York"/>
    <s v="NY"/>
    <n v="99999"/>
    <s v="USA"/>
    <x v="1"/>
    <x v="1"/>
    <x v="1"/>
    <n v="3.5"/>
    <n v="70"/>
    <x v="274"/>
    <n v="24.009999999999998"/>
  </r>
  <r>
    <n v="1373"/>
    <x v="136"/>
    <n v="12"/>
    <x v="2"/>
    <s v="123 12th Street"/>
    <x v="0"/>
    <x v="0"/>
    <n v="99999"/>
    <s v="USA"/>
    <x v="0"/>
    <x v="0"/>
    <d v="2014-12-14T00:00:00"/>
    <s v="Shipping Company B"/>
    <s v="John Edwards"/>
    <s v="123 12th Street"/>
    <s v="Las Vegas"/>
    <s v="NV"/>
    <n v="99999"/>
    <s v="USA"/>
    <x v="1"/>
    <x v="4"/>
    <x v="0"/>
    <n v="18"/>
    <n v="57"/>
    <x v="277"/>
    <n v="102.60000000000001"/>
  </r>
  <r>
    <n v="1374"/>
    <x v="136"/>
    <n v="12"/>
    <x v="2"/>
    <s v="123 12th Street"/>
    <x v="0"/>
    <x v="0"/>
    <n v="99999"/>
    <s v="USA"/>
    <x v="0"/>
    <x v="0"/>
    <d v="2014-12-14T00:00:00"/>
    <s v="Shipping Company B"/>
    <s v="John Edwards"/>
    <s v="123 12th Street"/>
    <s v="Las Vegas"/>
    <s v="NV"/>
    <n v="99999"/>
    <s v="USA"/>
    <x v="1"/>
    <x v="5"/>
    <x v="0"/>
    <n v="46"/>
    <n v="83"/>
    <x v="278"/>
    <n v="374.16399999999999"/>
  </r>
  <r>
    <n v="1375"/>
    <x v="137"/>
    <n v="8"/>
    <x v="3"/>
    <s v="123 8th Street"/>
    <x v="2"/>
    <x v="2"/>
    <n v="99999"/>
    <s v="USA"/>
    <x v="2"/>
    <x v="2"/>
    <d v="2014-12-10T00:00:00"/>
    <s v="Shipping Company C"/>
    <s v="Elizabeth Andersen"/>
    <s v="123 8th Street"/>
    <s v="Portland"/>
    <s v="OR"/>
    <n v="99999"/>
    <s v="USA"/>
    <x v="1"/>
    <x v="6"/>
    <x v="2"/>
    <n v="9.1999999999999993"/>
    <n v="76"/>
    <x v="279"/>
    <n v="67.123199999999997"/>
  </r>
  <r>
    <n v="1376"/>
    <x v="135"/>
    <n v="4"/>
    <x v="1"/>
    <s v="123 4th Street"/>
    <x v="1"/>
    <x v="1"/>
    <n v="99999"/>
    <s v="USA"/>
    <x v="1"/>
    <x v="1"/>
    <n v="41979"/>
    <s v="Shipping Company C"/>
    <s v="Christina Lee"/>
    <s v="123 4th Street"/>
    <s v="New York"/>
    <s v="NY"/>
    <n v="99999"/>
    <s v="USA"/>
    <x v="0"/>
    <x v="6"/>
    <x v="2"/>
    <n v="9.1999999999999993"/>
    <n v="80"/>
    <x v="129"/>
    <n v="72.864000000000004"/>
  </r>
  <r>
    <n v="1377"/>
    <x v="138"/>
    <n v="29"/>
    <x v="4"/>
    <s v="789 29th Street"/>
    <x v="3"/>
    <x v="3"/>
    <n v="99999"/>
    <s v="USA"/>
    <x v="3"/>
    <x v="0"/>
    <n v="42004"/>
    <s v="Shipping Company B"/>
    <s v="Soo Jung Lee"/>
    <s v="789 29th Street"/>
    <s v="Denver"/>
    <s v="CO"/>
    <n v="99999"/>
    <s v="USA"/>
    <x v="0"/>
    <x v="7"/>
    <x v="3"/>
    <n v="12.75"/>
    <n v="47"/>
    <x v="13"/>
    <n v="59.325750000000006"/>
  </r>
  <r>
    <n v="1378"/>
    <x v="139"/>
    <n v="3"/>
    <x v="5"/>
    <s v="123 3rd Street"/>
    <x v="4"/>
    <x v="4"/>
    <n v="99999"/>
    <s v="USA"/>
    <x v="0"/>
    <x v="0"/>
    <n v="41978"/>
    <s v="Shipping Company B"/>
    <s v="Thomas Axerr"/>
    <s v="123 3rd Street"/>
    <s v="Los Angelas"/>
    <s v="CA"/>
    <n v="99999"/>
    <s v="USA"/>
    <x v="2"/>
    <x v="8"/>
    <x v="4"/>
    <n v="9.65"/>
    <n v="96"/>
    <x v="280"/>
    <n v="94.492800000000017"/>
  </r>
  <r>
    <n v="1379"/>
    <x v="140"/>
    <n v="6"/>
    <x v="6"/>
    <s v="123 6th Street"/>
    <x v="5"/>
    <x v="5"/>
    <n v="99999"/>
    <s v="USA"/>
    <x v="4"/>
    <x v="2"/>
    <n v="41981"/>
    <s v="Shipping Company B"/>
    <s v="Francisco Pérez-Olaeta"/>
    <s v="123 6th Street"/>
    <s v="Milwaukee"/>
    <s v="WI"/>
    <n v="99999"/>
    <s v="USA"/>
    <x v="1"/>
    <x v="9"/>
    <x v="5"/>
    <n v="40"/>
    <n v="32"/>
    <x v="11"/>
    <n v="134.4"/>
  </r>
  <r>
    <n v="1380"/>
    <x v="141"/>
    <n v="28"/>
    <x v="7"/>
    <s v="789 28th Street"/>
    <x v="6"/>
    <x v="6"/>
    <n v="99999"/>
    <s v="USA"/>
    <x v="5"/>
    <x v="3"/>
    <d v="2014-12-30T00:00:00"/>
    <s v="Shipping Company C"/>
    <s v="Amritansh Raghav"/>
    <s v="789 28th Street"/>
    <s v="Memphis"/>
    <s v="TN"/>
    <n v="99999"/>
    <s v="USA"/>
    <x v="0"/>
    <x v="5"/>
    <x v="0"/>
    <n v="46"/>
    <n v="16"/>
    <x v="129"/>
    <n v="73.600000000000009"/>
  </r>
  <r>
    <n v="1381"/>
    <x v="137"/>
    <n v="8"/>
    <x v="3"/>
    <s v="123 8th Street"/>
    <x v="2"/>
    <x v="2"/>
    <n v="99999"/>
    <s v="USA"/>
    <x v="2"/>
    <x v="2"/>
    <d v="2014-12-10T00:00:00"/>
    <s v="Shipping Company C"/>
    <s v="Elizabeth Andersen"/>
    <s v="123 8th Street"/>
    <s v="Portland"/>
    <s v="OR"/>
    <n v="99999"/>
    <s v="USA"/>
    <x v="0"/>
    <x v="7"/>
    <x v="3"/>
    <n v="12.75"/>
    <n v="41"/>
    <x v="87"/>
    <n v="51.229500000000002"/>
  </r>
  <r>
    <n v="1382"/>
    <x v="142"/>
    <n v="10"/>
    <x v="8"/>
    <s v="123 10th Street"/>
    <x v="7"/>
    <x v="7"/>
    <n v="99999"/>
    <s v="USA"/>
    <x v="6"/>
    <x v="1"/>
    <d v="2014-12-12T00:00:00"/>
    <s v="Shipping Company B"/>
    <s v="Roland Wacker"/>
    <s v="123 10th Street"/>
    <s v="Chicago"/>
    <s v="IL"/>
    <n v="99999"/>
    <s v="USA"/>
    <x v="1"/>
    <x v="10"/>
    <x v="0"/>
    <n v="2.99"/>
    <n v="41"/>
    <x v="281"/>
    <n v="12.871950000000002"/>
  </r>
  <r>
    <n v="1383"/>
    <x v="143"/>
    <n v="7"/>
    <x v="9"/>
    <s v="123 7th Street"/>
    <x v="8"/>
    <x v="8"/>
    <n v="99999"/>
    <s v="USA"/>
    <x v="2"/>
    <x v="2"/>
    <m/>
    <m/>
    <s v="Ming-Yang Xie"/>
    <s v="123 7th Street"/>
    <s v="Boise"/>
    <s v="ID"/>
    <n v="99999"/>
    <s v="USA"/>
    <x v="3"/>
    <x v="5"/>
    <x v="0"/>
    <n v="46"/>
    <n v="41"/>
    <x v="282"/>
    <n v="194.25800000000004"/>
  </r>
  <r>
    <n v="1384"/>
    <x v="142"/>
    <n v="10"/>
    <x v="8"/>
    <s v="123 10th Street"/>
    <x v="7"/>
    <x v="7"/>
    <n v="99999"/>
    <s v="USA"/>
    <x v="6"/>
    <x v="1"/>
    <d v="2014-12-12T00:00:00"/>
    <s v="Shipping Company A"/>
    <s v="Roland Wacker"/>
    <s v="123 10th Street"/>
    <s v="Chicago"/>
    <s v="IL"/>
    <n v="99999"/>
    <s v="USA"/>
    <x v="3"/>
    <x v="11"/>
    <x v="6"/>
    <n v="25"/>
    <n v="94"/>
    <x v="283"/>
    <n v="235"/>
  </r>
  <r>
    <n v="1385"/>
    <x v="142"/>
    <n v="10"/>
    <x v="8"/>
    <s v="123 10th Street"/>
    <x v="7"/>
    <x v="7"/>
    <n v="99999"/>
    <s v="USA"/>
    <x v="6"/>
    <x v="1"/>
    <d v="2014-12-12T00:00:00"/>
    <s v="Shipping Company A"/>
    <s v="Roland Wacker"/>
    <s v="123 10th Street"/>
    <s v="Chicago"/>
    <s v="IL"/>
    <n v="99999"/>
    <s v="USA"/>
    <x v="3"/>
    <x v="12"/>
    <x v="7"/>
    <n v="22"/>
    <n v="20"/>
    <x v="284"/>
    <n v="46.2"/>
  </r>
  <r>
    <n v="1386"/>
    <x v="142"/>
    <n v="10"/>
    <x v="8"/>
    <s v="123 10th Street"/>
    <x v="7"/>
    <x v="7"/>
    <n v="99999"/>
    <s v="USA"/>
    <x v="6"/>
    <x v="1"/>
    <n v="41985"/>
    <s v="Shipping Company A"/>
    <s v="Roland Wacker"/>
    <s v="123 10th Street"/>
    <s v="Chicago"/>
    <s v="IL"/>
    <n v="99999"/>
    <s v="USA"/>
    <x v="3"/>
    <x v="6"/>
    <x v="2"/>
    <n v="9.1999999999999993"/>
    <n v="13"/>
    <x v="285"/>
    <n v="12.438400000000001"/>
  </r>
  <r>
    <n v="1387"/>
    <x v="144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1"/>
    <x v="1"/>
    <n v="3.5"/>
    <n v="74"/>
    <x v="58"/>
    <n v="26.936000000000003"/>
  </r>
  <r>
    <n v="1388"/>
    <x v="144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10"/>
    <x v="0"/>
    <n v="2.99"/>
    <n v="53"/>
    <x v="286"/>
    <n v="16.005470000000003"/>
  </r>
  <r>
    <n v="1389"/>
    <x v="145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4"/>
    <x v="0"/>
    <n v="18"/>
    <n v="99"/>
    <x v="287"/>
    <n v="174.63600000000002"/>
  </r>
  <r>
    <n v="1390"/>
    <x v="145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5"/>
    <x v="0"/>
    <n v="46"/>
    <n v="89"/>
    <x v="288"/>
    <n v="388.93"/>
  </r>
  <r>
    <n v="1391"/>
    <x v="145"/>
    <n v="1"/>
    <x v="11"/>
    <s v="123 1st Street"/>
    <x v="10"/>
    <x v="10"/>
    <n v="99999"/>
    <s v="USA"/>
    <x v="2"/>
    <x v="2"/>
    <m/>
    <m/>
    <s v="Anna Bedecs"/>
    <s v="123 1st Street"/>
    <s v="Seattle"/>
    <s v="WA"/>
    <n v="99999"/>
    <s v="USA"/>
    <x v="3"/>
    <x v="10"/>
    <x v="0"/>
    <n v="2.99"/>
    <n v="64"/>
    <x v="200"/>
    <n v="19.518720000000002"/>
  </r>
  <r>
    <n v="1392"/>
    <x v="141"/>
    <n v="28"/>
    <x v="7"/>
    <s v="789 28th Street"/>
    <x v="6"/>
    <x v="6"/>
    <n v="99999"/>
    <s v="USA"/>
    <x v="5"/>
    <x v="3"/>
    <d v="2014-12-30T00:00:00"/>
    <s v="Shipping Company C"/>
    <s v="Amritansh Raghav"/>
    <s v="789 28th Street"/>
    <s v="Memphis"/>
    <s v="TN"/>
    <n v="99999"/>
    <s v="USA"/>
    <x v="1"/>
    <x v="8"/>
    <x v="4"/>
    <n v="9.65"/>
    <n v="98"/>
    <x v="289"/>
    <n v="96.461400000000012"/>
  </r>
  <r>
    <n v="1393"/>
    <x v="141"/>
    <n v="28"/>
    <x v="7"/>
    <s v="789 28th Street"/>
    <x v="6"/>
    <x v="6"/>
    <n v="99999"/>
    <s v="USA"/>
    <x v="5"/>
    <x v="3"/>
    <d v="2014-12-30T00:00:00"/>
    <s v="Shipping Company C"/>
    <s v="Amritansh Raghav"/>
    <s v="789 28th Street"/>
    <s v="Memphis"/>
    <s v="TN"/>
    <n v="99999"/>
    <s v="USA"/>
    <x v="1"/>
    <x v="13"/>
    <x v="8"/>
    <n v="18.399999999999999"/>
    <n v="86"/>
    <x v="290"/>
    <n v="155.0752"/>
  </r>
  <r>
    <n v="1394"/>
    <x v="146"/>
    <n v="9"/>
    <x v="12"/>
    <s v="123 9th Street"/>
    <x v="11"/>
    <x v="11"/>
    <n v="99999"/>
    <s v="USA"/>
    <x v="7"/>
    <x v="0"/>
    <d v="2014-12-11T00:00:00"/>
    <s v="Shipping Company A"/>
    <s v="Sven Mortensen"/>
    <s v="123 9th Street"/>
    <s v="Salt Lake City"/>
    <s v="UT"/>
    <n v="99999"/>
    <s v="USA"/>
    <x v="0"/>
    <x v="14"/>
    <x v="9"/>
    <n v="19.5"/>
    <n v="20"/>
    <x v="291"/>
    <n v="40.950000000000003"/>
  </r>
  <r>
    <n v="1395"/>
    <x v="146"/>
    <n v="9"/>
    <x v="12"/>
    <s v="123 9th Street"/>
    <x v="11"/>
    <x v="11"/>
    <n v="99999"/>
    <s v="USA"/>
    <x v="7"/>
    <x v="0"/>
    <d v="2014-12-11T00:00:00"/>
    <s v="Shipping Company A"/>
    <s v="Sven Mortensen"/>
    <s v="123 9th Street"/>
    <s v="Salt Lake City"/>
    <s v="UT"/>
    <n v="99999"/>
    <s v="USA"/>
    <x v="0"/>
    <x v="15"/>
    <x v="10"/>
    <n v="34.799999999999997"/>
    <n v="69"/>
    <x v="292"/>
    <n v="240.12"/>
  </r>
  <r>
    <n v="1396"/>
    <x v="140"/>
    <n v="6"/>
    <x v="6"/>
    <s v="123 6th Street"/>
    <x v="5"/>
    <x v="5"/>
    <n v="99999"/>
    <s v="USA"/>
    <x v="4"/>
    <x v="2"/>
    <d v="2014-12-08T00:00:00"/>
    <s v="Shipping Company B"/>
    <s v="Francisco Pérez-Olaeta"/>
    <s v="123 6th Street"/>
    <s v="Milwaukee"/>
    <s v="WI"/>
    <n v="99999"/>
    <s v="USA"/>
    <x v="1"/>
    <x v="0"/>
    <x v="0"/>
    <n v="14"/>
    <n v="68"/>
    <x v="293"/>
    <n v="91.391999999999996"/>
  </r>
  <r>
    <n v="1397"/>
    <x v="137"/>
    <n v="8"/>
    <x v="3"/>
    <s v="123 8th Street"/>
    <x v="2"/>
    <x v="2"/>
    <n v="99999"/>
    <s v="USA"/>
    <x v="2"/>
    <x v="2"/>
    <d v="2014-12-10T00:00:00"/>
    <s v="Shipping Company B"/>
    <s v="Elizabeth Andersen"/>
    <s v="123 8th Street"/>
    <s v="Portland"/>
    <s v="OR"/>
    <n v="99999"/>
    <s v="USA"/>
    <x v="0"/>
    <x v="9"/>
    <x v="5"/>
    <n v="40"/>
    <n v="52"/>
    <x v="294"/>
    <n v="203.84"/>
  </r>
  <r>
    <n v="1398"/>
    <x v="137"/>
    <n v="8"/>
    <x v="3"/>
    <s v="123 8th Street"/>
    <x v="2"/>
    <x v="2"/>
    <n v="99999"/>
    <s v="USA"/>
    <x v="2"/>
    <x v="2"/>
    <d v="2014-12-10T00:00:00"/>
    <s v="Shipping Company B"/>
    <s v="Elizabeth Andersen"/>
    <s v="123 8th Street"/>
    <s v="Portland"/>
    <s v="OR"/>
    <n v="99999"/>
    <s v="USA"/>
    <x v="0"/>
    <x v="6"/>
    <x v="2"/>
    <n v="9.1999999999999993"/>
    <n v="40"/>
    <x v="295"/>
    <n v="38.640000000000008"/>
  </r>
  <r>
    <n v="1399"/>
    <x v="147"/>
    <n v="25"/>
    <x v="13"/>
    <s v="789 25th Street"/>
    <x v="7"/>
    <x v="7"/>
    <n v="99999"/>
    <s v="USA"/>
    <x v="6"/>
    <x v="1"/>
    <d v="2014-12-27T00:00:00"/>
    <s v="Shipping Company A"/>
    <s v="John Rodman"/>
    <s v="789 25th Street"/>
    <s v="Chicago"/>
    <s v="IL"/>
    <n v="99999"/>
    <s v="USA"/>
    <x v="2"/>
    <x v="21"/>
    <x v="2"/>
    <n v="10"/>
    <n v="100"/>
    <x v="116"/>
    <n v="98"/>
  </r>
  <r>
    <n v="1400"/>
    <x v="148"/>
    <n v="26"/>
    <x v="14"/>
    <s v="789 26th Street"/>
    <x v="9"/>
    <x v="9"/>
    <n v="99999"/>
    <s v="USA"/>
    <x v="5"/>
    <x v="3"/>
    <d v="2014-12-28T00:00:00"/>
    <s v="Shipping Company C"/>
    <s v="Run Liu"/>
    <s v="789 26th Street"/>
    <s v="Miami"/>
    <s v="FL"/>
    <n v="99999"/>
    <s v="USA"/>
    <x v="1"/>
    <x v="22"/>
    <x v="13"/>
    <n v="21.35"/>
    <n v="88"/>
    <x v="296"/>
    <n v="184.12240000000003"/>
  </r>
  <r>
    <n v="1401"/>
    <x v="148"/>
    <n v="26"/>
    <x v="14"/>
    <s v="789 26th Street"/>
    <x v="9"/>
    <x v="9"/>
    <n v="99999"/>
    <s v="USA"/>
    <x v="5"/>
    <x v="3"/>
    <d v="2014-12-28T00:00:00"/>
    <s v="Shipping Company C"/>
    <s v="Run Liu"/>
    <s v="789 26th Street"/>
    <s v="Miami"/>
    <s v="FL"/>
    <n v="99999"/>
    <s v="USA"/>
    <x v="1"/>
    <x v="8"/>
    <x v="4"/>
    <n v="9.65"/>
    <n v="46"/>
    <x v="256"/>
    <n v="42.614400000000003"/>
  </r>
  <r>
    <n v="1402"/>
    <x v="148"/>
    <n v="26"/>
    <x v="14"/>
    <s v="789 26th Street"/>
    <x v="9"/>
    <x v="9"/>
    <n v="99999"/>
    <s v="USA"/>
    <x v="5"/>
    <x v="3"/>
    <d v="2014-12-28T00:00:00"/>
    <s v="Shipping Company C"/>
    <s v="Run Liu"/>
    <s v="789 26th Street"/>
    <s v="Miami"/>
    <s v="FL"/>
    <n v="99999"/>
    <s v="USA"/>
    <x v="1"/>
    <x v="13"/>
    <x v="8"/>
    <n v="18.399999999999999"/>
    <n v="93"/>
    <x v="297"/>
    <n v="167.69759999999999"/>
  </r>
  <r>
    <n v="1403"/>
    <x v="138"/>
    <n v="29"/>
    <x v="4"/>
    <s v="789 29th Street"/>
    <x v="3"/>
    <x v="3"/>
    <n v="99999"/>
    <s v="USA"/>
    <x v="3"/>
    <x v="0"/>
    <d v="2014-12-31T00:00:00"/>
    <s v="Shipping Company B"/>
    <s v="Soo Jung Lee"/>
    <s v="789 29th Street"/>
    <s v="Denver"/>
    <s v="CO"/>
    <n v="99999"/>
    <s v="USA"/>
    <x v="0"/>
    <x v="0"/>
    <x v="0"/>
    <n v="14"/>
    <n v="96"/>
    <x v="298"/>
    <n v="141.12"/>
  </r>
  <r>
    <n v="1404"/>
    <x v="140"/>
    <n v="6"/>
    <x v="6"/>
    <s v="123 6th Street"/>
    <x v="5"/>
    <x v="5"/>
    <n v="99999"/>
    <s v="USA"/>
    <x v="4"/>
    <x v="2"/>
    <d v="2014-12-08T00:00:00"/>
    <s v="Shipping Company C"/>
    <s v="Francisco Pérez-Olaeta"/>
    <s v="123 6th Street"/>
    <s v="Milwaukee"/>
    <s v="WI"/>
    <n v="99999"/>
    <s v="USA"/>
    <x v="0"/>
    <x v="7"/>
    <x v="3"/>
    <n v="12.75"/>
    <n v="12"/>
    <x v="299"/>
    <n v="16.065000000000001"/>
  </r>
  <r>
    <n v="1406"/>
    <x v="135"/>
    <n v="4"/>
    <x v="1"/>
    <s v="123 4th Street"/>
    <x v="1"/>
    <x v="1"/>
    <n v="99999"/>
    <s v="USA"/>
    <x v="1"/>
    <x v="1"/>
    <d v="2014-12-06T00:00:00"/>
    <s v="Shipping Company A"/>
    <s v="Christina Lee"/>
    <s v="123 4th Street"/>
    <s v="New York"/>
    <s v="NY"/>
    <n v="99999"/>
    <s v="USA"/>
    <x v="1"/>
    <x v="23"/>
    <x v="6"/>
    <n v="81"/>
    <n v="38"/>
    <x v="300"/>
    <n v="292.41000000000003"/>
  </r>
  <r>
    <n v="1407"/>
    <x v="135"/>
    <n v="4"/>
    <x v="1"/>
    <s v="123 4th Street"/>
    <x v="1"/>
    <x v="1"/>
    <n v="99999"/>
    <s v="USA"/>
    <x v="1"/>
    <x v="1"/>
    <d v="2014-12-06T00:00:00"/>
    <s v="Shipping Company A"/>
    <s v="Christina Lee"/>
    <s v="123 4th Street"/>
    <s v="New York"/>
    <s v="NY"/>
    <n v="99999"/>
    <s v="USA"/>
    <x v="1"/>
    <x v="24"/>
    <x v="14"/>
    <n v="7"/>
    <n v="42"/>
    <x v="108"/>
    <n v="29.106000000000002"/>
  </r>
  <r>
    <n v="1409"/>
    <x v="137"/>
    <n v="8"/>
    <x v="3"/>
    <s v="123 8th Street"/>
    <x v="2"/>
    <x v="2"/>
    <n v="99999"/>
    <s v="USA"/>
    <x v="2"/>
    <x v="2"/>
    <d v="2014-12-10T00:00:00"/>
    <s v="Shipping Company C"/>
    <s v="Elizabeth Andersen"/>
    <s v="123 8th Street"/>
    <s v="Portland"/>
    <s v="OR"/>
    <n v="99999"/>
    <s v="USA"/>
    <x v="1"/>
    <x v="15"/>
    <x v="10"/>
    <n v="34.799999999999997"/>
    <n v="100"/>
    <x v="301"/>
    <n v="344.52"/>
  </r>
  <r>
    <n v="1412"/>
    <x v="139"/>
    <n v="3"/>
    <x v="5"/>
    <s v="123 3rd Street"/>
    <x v="4"/>
    <x v="4"/>
    <n v="99999"/>
    <s v="USA"/>
    <x v="0"/>
    <x v="0"/>
    <d v="2014-12-05T00:00:00"/>
    <s v="Shipping Company B"/>
    <s v="Thomas Axerr"/>
    <s v="123 3rd Street"/>
    <s v="Los Angelas"/>
    <s v="CA"/>
    <n v="99999"/>
    <s v="USA"/>
    <x v="2"/>
    <x v="16"/>
    <x v="7"/>
    <n v="10"/>
    <n v="89"/>
    <x v="302"/>
    <n v="87.22"/>
  </r>
  <r>
    <n v="1413"/>
    <x v="139"/>
    <n v="3"/>
    <x v="5"/>
    <s v="123 3rd Street"/>
    <x v="4"/>
    <x v="4"/>
    <n v="99999"/>
    <s v="USA"/>
    <x v="0"/>
    <x v="0"/>
    <d v="2014-12-05T00:00:00"/>
    <s v="Shipping Company B"/>
    <s v="Thomas Axerr"/>
    <s v="123 3rd Street"/>
    <s v="Los Angelas"/>
    <s v="CA"/>
    <n v="99999"/>
    <s v="USA"/>
    <x v="2"/>
    <x v="9"/>
    <x v="5"/>
    <n v="40"/>
    <n v="12"/>
    <x v="60"/>
    <n v="46.56"/>
  </r>
  <r>
    <n v="1417"/>
    <x v="142"/>
    <n v="10"/>
    <x v="8"/>
    <s v="123 10th Street"/>
    <x v="7"/>
    <x v="7"/>
    <n v="99999"/>
    <s v="USA"/>
    <x v="6"/>
    <x v="1"/>
    <d v="2014-12-12T00:00:00"/>
    <s v="Shipping Company B"/>
    <s v="Roland Wacker"/>
    <s v="123 10th Street"/>
    <s v="Chicago"/>
    <s v="IL"/>
    <n v="99999"/>
    <s v="USA"/>
    <x v="1"/>
    <x v="18"/>
    <x v="1"/>
    <n v="10"/>
    <n v="97"/>
    <x v="303"/>
    <n v="100.88000000000001"/>
  </r>
  <r>
    <n v="1419"/>
    <x v="142"/>
    <n v="10"/>
    <x v="8"/>
    <s v="123 10th Street"/>
    <x v="7"/>
    <x v="7"/>
    <n v="99999"/>
    <s v="USA"/>
    <x v="6"/>
    <x v="1"/>
    <m/>
    <s v="Shipping Company A"/>
    <s v="Roland Wacker"/>
    <s v="123 10th Street"/>
    <s v="Chicago"/>
    <s v="IL"/>
    <n v="99999"/>
    <s v="USA"/>
    <x v="3"/>
    <x v="1"/>
    <x v="1"/>
    <n v="3.5"/>
    <n v="53"/>
    <x v="304"/>
    <n v="17.622499999999999"/>
  </r>
  <r>
    <n v="1420"/>
    <x v="144"/>
    <n v="11"/>
    <x v="10"/>
    <s v="123 11th Street"/>
    <x v="9"/>
    <x v="9"/>
    <n v="99999"/>
    <s v="USA"/>
    <x v="5"/>
    <x v="3"/>
    <m/>
    <s v="Shipping Company C"/>
    <s v="Peter Krschne"/>
    <s v="123 11th Street"/>
    <s v="Miami"/>
    <s v="FL"/>
    <n v="99999"/>
    <s v="USA"/>
    <x v="3"/>
    <x v="9"/>
    <x v="5"/>
    <n v="40"/>
    <n v="61"/>
    <x v="305"/>
    <n v="248.88"/>
  </r>
  <r>
    <n v="1421"/>
    <x v="145"/>
    <n v="1"/>
    <x v="11"/>
    <s v="123 1st Street"/>
    <x v="10"/>
    <x v="10"/>
    <n v="99999"/>
    <s v="USA"/>
    <x v="2"/>
    <x v="2"/>
    <m/>
    <s v="Shipping Company C"/>
    <s v="Anna Bedecs"/>
    <s v="123 1st Street"/>
    <s v="Seattle"/>
    <s v="WA"/>
    <n v="99999"/>
    <s v="USA"/>
    <x v="3"/>
    <x v="13"/>
    <x v="8"/>
    <n v="18.399999999999999"/>
    <n v="45"/>
    <x v="306"/>
    <n v="81.143999999999991"/>
  </r>
  <r>
    <n v="1422"/>
    <x v="141"/>
    <n v="28"/>
    <x v="7"/>
    <s v="789 28th Street"/>
    <x v="6"/>
    <x v="6"/>
    <n v="99999"/>
    <s v="USA"/>
    <x v="5"/>
    <x v="3"/>
    <d v="2014-12-30T00:00:00"/>
    <s v="Shipping Company C"/>
    <s v="Amritansh Raghav"/>
    <s v="789 28th Street"/>
    <s v="Memphis"/>
    <s v="TN"/>
    <n v="99999"/>
    <s v="USA"/>
    <x v="1"/>
    <x v="5"/>
    <x v="0"/>
    <n v="46"/>
    <n v="43"/>
    <x v="307"/>
    <n v="197.8"/>
  </r>
  <r>
    <n v="1423"/>
    <x v="146"/>
    <n v="9"/>
    <x v="12"/>
    <s v="123 9th Street"/>
    <x v="11"/>
    <x v="11"/>
    <n v="99999"/>
    <s v="USA"/>
    <x v="7"/>
    <x v="0"/>
    <d v="2014-12-11T00:00:00"/>
    <s v="Shipping Company A"/>
    <s v="Sven Mortensen"/>
    <s v="123 9th Street"/>
    <s v="Salt Lake City"/>
    <s v="UT"/>
    <n v="99999"/>
    <s v="USA"/>
    <x v="0"/>
    <x v="8"/>
    <x v="4"/>
    <n v="9.65"/>
    <n v="18"/>
    <x v="308"/>
    <n v="16.5015"/>
  </r>
  <r>
    <n v="1424"/>
    <x v="140"/>
    <n v="6"/>
    <x v="6"/>
    <s v="123 6th Street"/>
    <x v="5"/>
    <x v="5"/>
    <n v="99999"/>
    <s v="USA"/>
    <x v="4"/>
    <x v="2"/>
    <d v="2014-12-08T00:00:00"/>
    <s v="Shipping Company B"/>
    <s v="Francisco Pérez-Olaeta"/>
    <s v="123 6th Street"/>
    <s v="Milwaukee"/>
    <s v="WI"/>
    <n v="99999"/>
    <s v="USA"/>
    <x v="1"/>
    <x v="7"/>
    <x v="3"/>
    <n v="12.75"/>
    <n v="41"/>
    <x v="87"/>
    <n v="50.706750000000007"/>
  </r>
  <r>
    <n v="1425"/>
    <x v="137"/>
    <n v="8"/>
    <x v="3"/>
    <s v="123 8th Street"/>
    <x v="2"/>
    <x v="2"/>
    <n v="99999"/>
    <s v="USA"/>
    <x v="2"/>
    <x v="2"/>
    <n v="41983"/>
    <s v="Shipping Company B"/>
    <s v="Elizabeth Andersen"/>
    <s v="123 8th Street"/>
    <s v="Portland"/>
    <s v="OR"/>
    <n v="99999"/>
    <s v="USA"/>
    <x v="0"/>
    <x v="7"/>
    <x v="3"/>
    <n v="12.75"/>
    <n v="19"/>
    <x v="109"/>
    <n v="23.982750000000003"/>
  </r>
  <r>
    <n v="1426"/>
    <x v="147"/>
    <n v="25"/>
    <x v="13"/>
    <s v="789 25th Street"/>
    <x v="7"/>
    <x v="7"/>
    <n v="99999"/>
    <s v="USA"/>
    <x v="6"/>
    <x v="1"/>
    <n v="42000"/>
    <s v="Shipping Company A"/>
    <s v="John Rodman"/>
    <s v="789 25th Street"/>
    <s v="Chicago"/>
    <s v="IL"/>
    <n v="99999"/>
    <s v="USA"/>
    <x v="2"/>
    <x v="12"/>
    <x v="7"/>
    <n v="22"/>
    <n v="65"/>
    <x v="309"/>
    <n v="138.71"/>
  </r>
  <r>
    <n v="1427"/>
    <x v="148"/>
    <n v="26"/>
    <x v="14"/>
    <s v="789 26th Street"/>
    <x v="9"/>
    <x v="9"/>
    <n v="99999"/>
    <s v="USA"/>
    <x v="5"/>
    <x v="3"/>
    <n v="42001"/>
    <s v="Shipping Company C"/>
    <s v="Run Liu"/>
    <s v="789 26th Street"/>
    <s v="Miami"/>
    <s v="FL"/>
    <n v="99999"/>
    <s v="USA"/>
    <x v="1"/>
    <x v="11"/>
    <x v="6"/>
    <n v="25"/>
    <n v="13"/>
    <x v="310"/>
    <n v="32.174999999999997"/>
  </r>
  <r>
    <n v="1428"/>
    <x v="138"/>
    <n v="29"/>
    <x v="4"/>
    <s v="789 29th Street"/>
    <x v="3"/>
    <x v="3"/>
    <n v="99999"/>
    <s v="USA"/>
    <x v="3"/>
    <x v="0"/>
    <n v="42004"/>
    <s v="Shipping Company B"/>
    <s v="Soo Jung Lee"/>
    <s v="789 29th Street"/>
    <s v="Denver"/>
    <s v="CO"/>
    <n v="99999"/>
    <s v="USA"/>
    <x v="0"/>
    <x v="19"/>
    <x v="12"/>
    <n v="39"/>
    <n v="54"/>
    <x v="311"/>
    <n v="214.81200000000004"/>
  </r>
  <r>
    <n v="1429"/>
    <x v="140"/>
    <n v="6"/>
    <x v="6"/>
    <s v="123 6th Street"/>
    <x v="5"/>
    <x v="5"/>
    <n v="99999"/>
    <s v="USA"/>
    <x v="4"/>
    <x v="2"/>
    <d v="2014-12-08T00:00:00"/>
    <s v="Shipping Company C"/>
    <s v="Francisco Pérez-Olaeta"/>
    <s v="123 6th Street"/>
    <s v="Milwaukee"/>
    <s v="WI"/>
    <n v="99999"/>
    <s v="USA"/>
    <x v="0"/>
    <x v="2"/>
    <x v="1"/>
    <n v="30"/>
    <n v="33"/>
    <x v="82"/>
    <n v="95.039999999999992"/>
  </r>
  <r>
    <n v="1430"/>
    <x v="140"/>
    <n v="6"/>
    <x v="6"/>
    <s v="123 6th Street"/>
    <x v="5"/>
    <x v="5"/>
    <n v="99999"/>
    <s v="USA"/>
    <x v="4"/>
    <x v="2"/>
    <d v="2014-12-08T00:00:00"/>
    <s v="Shipping Company C"/>
    <s v="Francisco Pérez-Olaeta"/>
    <s v="123 6th Street"/>
    <s v="Milwaukee"/>
    <s v="WI"/>
    <n v="99999"/>
    <s v="USA"/>
    <x v="0"/>
    <x v="3"/>
    <x v="1"/>
    <n v="53"/>
    <n v="34"/>
    <x v="312"/>
    <n v="185.60600000000002"/>
  </r>
  <r>
    <n v="1431"/>
    <x v="135"/>
    <n v="4"/>
    <x v="1"/>
    <s v="123 4th Street"/>
    <x v="1"/>
    <x v="1"/>
    <n v="99999"/>
    <s v="USA"/>
    <x v="1"/>
    <x v="1"/>
    <m/>
    <m/>
    <s v="Christina Lee"/>
    <s v="123 4th Street"/>
    <s v="New York"/>
    <s v="NY"/>
    <n v="99999"/>
    <s v="USA"/>
    <x v="3"/>
    <x v="20"/>
    <x v="9"/>
    <n v="38"/>
    <n v="59"/>
    <x v="313"/>
    <n v="226.44200000000001"/>
  </r>
  <r>
    <n v="1432"/>
    <x v="139"/>
    <n v="3"/>
    <x v="5"/>
    <s v="123 3rd Street"/>
    <x v="4"/>
    <x v="4"/>
    <n v="99999"/>
    <s v="USA"/>
    <x v="0"/>
    <x v="0"/>
    <m/>
    <m/>
    <s v="Thomas Axerr"/>
    <s v="123 3rd Street"/>
    <s v="Los Angelas"/>
    <s v="CA"/>
    <n v="99999"/>
    <s v="USA"/>
    <x v="3"/>
    <x v="10"/>
    <x v="0"/>
    <n v="2.99"/>
    <n v="24"/>
    <x v="314"/>
    <n v="7.10424000000000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000000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7">
  <location ref="A3:B16" firstHeaderRow="1" firstDataRow="1" firstDataCol="1"/>
  <pivotFields count="27">
    <pivotField showAll="0"/>
    <pivotField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9">
        <item h="1" x="1"/>
        <item x="5"/>
        <item h="1" x="3"/>
        <item h="1" x="6"/>
        <item h="1" x="0"/>
        <item h="1" x="4"/>
        <item h="1" x="2"/>
        <item h="1" x="7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24" baseField="0" baseItem="0"/>
  </dataFields>
  <chartFormats count="9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6" count="1" selected="0">
            <x v="7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6" count="1" selected="0">
            <x v="9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6" count="1" selected="0">
            <x v="1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6" count="1" selected="0">
            <x v="4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6" count="1" selected="0">
            <x v="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100000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A3:B12" firstHeaderRow="1" firstDataRow="1" firstDataCol="1"/>
  <pivotFields count="27">
    <pivotField showAll="0"/>
    <pivotField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9">
        <item x="1"/>
        <item x="5"/>
        <item x="3"/>
        <item x="6"/>
        <item x="0"/>
        <item x="4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6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t="default"/>
      </items>
    </pivotField>
    <pivotField showAll="0"/>
    <pivotField showAll="0"/>
    <pivotField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9">
    <i>
      <x v="2"/>
    </i>
    <i>
      <x v="7"/>
    </i>
    <i>
      <x v="5"/>
    </i>
    <i>
      <x v="3"/>
    </i>
    <i>
      <x v="4"/>
    </i>
    <i>
      <x/>
    </i>
    <i>
      <x v="1"/>
    </i>
    <i>
      <x v="6"/>
    </i>
    <i t="grand">
      <x/>
    </i>
  </rowItems>
  <colItems count="1">
    <i/>
  </colItems>
  <dataFields count="1">
    <dataField name="Sum of Revenue" fld="24" baseField="0" baseItem="0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18"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200000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0">
  <location ref="A3:B8" firstHeaderRow="1" firstDataRow="1" firstDataCol="1"/>
  <pivotFields count="27">
    <pivotField showAll="0"/>
    <pivotField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9">
        <item h="1" x="1"/>
        <item x="5"/>
        <item h="1" x="3"/>
        <item h="1" x="6"/>
        <item h="1" x="0"/>
        <item h="1" x="4"/>
        <item h="1" x="2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Revenue" fld="24" showDataAs="percentOfTotal" baseField="0" baseItem="0" numFmtId="10"/>
  </dataFields>
  <chartFormats count="11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7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300000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1">
  <location ref="A3:B9" firstHeaderRow="1" firstDataRow="1" firstDataCol="1"/>
  <pivotFields count="27">
    <pivotField showAll="0"/>
    <pivotField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9">
        <item h="1" x="1"/>
        <item x="5"/>
        <item h="1" x="3"/>
        <item h="1" x="6"/>
        <item h="1" x="0"/>
        <item h="1" x="4"/>
        <item h="1" x="2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7">
        <item x="2"/>
        <item x="0"/>
        <item x="3"/>
        <item x="8"/>
        <item x="7"/>
        <item x="10"/>
        <item x="1"/>
        <item x="12"/>
        <item x="14"/>
        <item x="6"/>
        <item x="13"/>
        <item x="9"/>
        <item x="5"/>
        <item x="11"/>
        <item x="4"/>
        <item m="1"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1"/>
  </rowFields>
  <rowItems count="6">
    <i>
      <x v="1"/>
    </i>
    <i>
      <x v="12"/>
    </i>
    <i>
      <x v="9"/>
    </i>
    <i>
      <x v="5"/>
    </i>
    <i>
      <x v="6"/>
    </i>
    <i t="grand">
      <x/>
    </i>
  </rowItems>
  <colItems count="1">
    <i/>
  </colItems>
  <dataFields count="1">
    <dataField name="Sum of Revenue" fld="24" baseField="0" baseItem="0"/>
  </dataFields>
  <chartFormats count="22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2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21" count="1" selected="0">
            <x v="9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4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21" count="1" selected="0">
            <x v="12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21" count="1" selected="0">
            <x v="9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6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" format="43">
      <pivotArea type="data" outline="0" fieldPosition="0">
        <references count="2">
          <reference field="4294967294" count="1" selected="0">
            <x v="0"/>
          </reference>
          <reference field="21" count="1" selected="0">
            <x v="12"/>
          </reference>
        </references>
      </pivotArea>
    </chartFormat>
    <chartFormat chart="6" format="44">
      <pivotArea type="data" outline="0" fieldPosition="0">
        <references count="2">
          <reference field="4294967294" count="1" selected="0">
            <x v="0"/>
          </reference>
          <reference field="21" count="1" selected="0">
            <x v="9"/>
          </reference>
        </references>
      </pivotArea>
    </chartFormat>
    <chartFormat chart="6" format="45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" format="46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0"/>
          </reference>
          <reference field="21" count="1" selected="0">
            <x v="11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1" type="count" evalOrder="-1" id="8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400000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3">
  <location ref="A3:B9" firstHeaderRow="1" firstDataRow="1" firstDataCol="1"/>
  <pivotFields count="27">
    <pivotField showAll="0"/>
    <pivotField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showAll="0"/>
    <pivotField showAll="0"/>
    <pivotField axis="axisRow" showAll="0" measureFilter="1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>
      <items count="9">
        <item h="1" x="1"/>
        <item x="5"/>
        <item h="1" x="3"/>
        <item h="1" x="6"/>
        <item h="1" x="0"/>
        <item h="1" x="4"/>
        <item h="1" x="2"/>
        <item h="1" x="7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 v="1"/>
    </i>
    <i>
      <x v="5"/>
    </i>
    <i>
      <x v="6"/>
    </i>
    <i>
      <x v="8"/>
    </i>
    <i>
      <x v="9"/>
    </i>
    <i t="grand">
      <x/>
    </i>
  </rowItems>
  <colItems count="1">
    <i/>
  </colItems>
  <dataFields count="1">
    <dataField name="Sum of Revenue" fld="24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500000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">
  <location ref="A3:B11" firstHeaderRow="1" firstDataRow="1" firstDataCol="1"/>
  <pivotFields count="27">
    <pivotField showAll="0"/>
    <pivotField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9">
        <item h="1" x="1"/>
        <item x="5"/>
        <item h="1" x="3"/>
        <item h="1" x="6"/>
        <item h="1" x="0"/>
        <item h="1" x="4"/>
        <item h="1" x="2"/>
        <item h="1" x="7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4"/>
  </rowFields>
  <rowItems count="8">
    <i>
      <x v="1"/>
    </i>
    <i>
      <x v="2"/>
    </i>
    <i>
      <x v="3"/>
    </i>
    <i>
      <x v="4"/>
    </i>
    <i>
      <x v="5"/>
    </i>
    <i>
      <x v="7"/>
    </i>
    <i>
      <x v="8"/>
    </i>
    <i t="grand">
      <x/>
    </i>
  </rowItems>
  <colItems count="1">
    <i/>
  </colItems>
  <dataFields count="1">
    <dataField name="Count of Revenue" fld="24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4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4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4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600000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6" firstHeaderRow="1" firstDataRow="1" firstDataCol="1"/>
  <pivotFields count="27">
    <pivotField showAll="0"/>
    <pivotField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showAll="0"/>
    <pivotField showAll="0"/>
    <pivotField showAll="0"/>
    <pivotField axis="axisRow" showAll="0" sortType="ascending">
      <items count="13">
        <item x="4"/>
        <item x="3"/>
        <item x="9"/>
        <item x="8"/>
        <item x="7"/>
        <item x="0"/>
        <item x="1"/>
        <item x="2"/>
        <item x="6"/>
        <item x="11"/>
        <item x="1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9">
        <item h="1" x="1"/>
        <item x="5"/>
        <item h="1" x="3"/>
        <item h="1" x="6"/>
        <item h="1" x="0"/>
        <item h="1" x="4"/>
        <item h="1" x="2"/>
        <item h="1" x="7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3">
    <i>
      <x v="5"/>
    </i>
    <i>
      <x v="1"/>
    </i>
    <i>
      <x v="3"/>
    </i>
    <i>
      <x/>
    </i>
    <i>
      <x v="9"/>
    </i>
    <i>
      <x v="10"/>
    </i>
    <i>
      <x v="11"/>
    </i>
    <i>
      <x v="4"/>
    </i>
    <i>
      <x v="8"/>
    </i>
    <i>
      <x v="2"/>
    </i>
    <i>
      <x v="7"/>
    </i>
    <i>
      <x v="6"/>
    </i>
    <i t="grand">
      <x/>
    </i>
  </rowItems>
  <colItems count="1">
    <i/>
  </colItems>
  <dataFields count="1">
    <dataField name="Sum of Revenue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700000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3">
  <location ref="A3:B14" firstHeaderRow="1" firstDataRow="1" firstDataCol="1"/>
  <pivotFields count="27">
    <pivotField showAll="0"/>
    <pivotField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axis="axisRow" showAll="0" measureFilter="1" sortType="ascending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9">
        <item h="1" x="1"/>
        <item x="5"/>
        <item h="1" x="3"/>
        <item h="1" x="6"/>
        <item h="1" x="0"/>
        <item h="1" x="4"/>
        <item h="1" x="2"/>
        <item h="1" x="7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1">
    <i>
      <x v="11"/>
    </i>
    <i>
      <x v="3"/>
    </i>
    <i>
      <x v="14"/>
    </i>
    <i>
      <x v="10"/>
    </i>
    <i>
      <x v="9"/>
    </i>
    <i>
      <x/>
    </i>
    <i>
      <x v="6"/>
    </i>
    <i>
      <x v="2"/>
    </i>
    <i>
      <x v="8"/>
    </i>
    <i>
      <x v="5"/>
    </i>
    <i t="grand">
      <x/>
    </i>
  </rowItems>
  <colItems count="1">
    <i/>
  </colItems>
  <dataFields count="1">
    <dataField name="Sum of Revenue" fld="24" baseField="0" baseItem="0"/>
  </dataFields>
  <chartFormats count="2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800000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">
  <location ref="A3:B10" firstHeaderRow="1" firstDataRow="1" firstDataCol="1"/>
  <pivotFields count="27">
    <pivotField showAll="0"/>
    <pivotField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showAll="0"/>
    <pivotField showAll="0"/>
    <pivotField axis="axisRow" showAll="0" measureFilter="1" sortType="ascending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9">
        <item h="1" x="1"/>
        <item x="5"/>
        <item h="1" x="3"/>
        <item h="1" x="6"/>
        <item h="1" x="0"/>
        <item h="1" x="4"/>
        <item h="1" x="2"/>
        <item h="1" x="7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 v="7"/>
    </i>
    <i>
      <x v="1"/>
    </i>
    <i>
      <x v="5"/>
    </i>
    <i>
      <x v="6"/>
    </i>
    <i>
      <x v="9"/>
    </i>
    <i>
      <x v="8"/>
    </i>
    <i t="grand">
      <x/>
    </i>
  </rowItems>
  <colItems count="1">
    <i/>
  </colItems>
  <dataFields count="1">
    <dataField name="Sum of Revenue" fld="24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BC2AA-6672-4893-8DAB-DFBE4B5E784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">
  <location ref="A3:B7" firstHeaderRow="1" firstDataRow="1" firstDataCol="1"/>
  <pivotFields count="27">
    <pivotField showAll="0"/>
    <pivotField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measureFilter="1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9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Count of Payment Type" fld="1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9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http://www.excelcampus.com/pivot-tables/pivot-tables-wor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2"/>
  <sheetViews>
    <sheetView zoomScale="90" zoomScaleNormal="90" workbookViewId="0">
      <selection activeCell="A23" sqref="A23"/>
    </sheetView>
  </sheetViews>
  <sheetFormatPr defaultRowHeight="14.5" x14ac:dyDescent="0.35"/>
  <cols>
    <col min="1" max="1" width="66.453125" customWidth="1"/>
    <col min="3" max="3" width="9.1796875" customWidth="1"/>
  </cols>
  <sheetData>
    <row r="2" spans="1:1" x14ac:dyDescent="0.35">
      <c r="A2" t="s">
        <v>161</v>
      </c>
    </row>
    <row r="3" spans="1:1" ht="68.25" customHeight="1" x14ac:dyDescent="0.35">
      <c r="A3" t="s">
        <v>162</v>
      </c>
    </row>
    <row r="4" spans="1:1" x14ac:dyDescent="0.35">
      <c r="A4" t="s">
        <v>156</v>
      </c>
    </row>
    <row r="5" spans="1:1" x14ac:dyDescent="0.35">
      <c r="A5" t="s">
        <v>157</v>
      </c>
    </row>
    <row r="6" spans="1:1" x14ac:dyDescent="0.35">
      <c r="A6" t="s">
        <v>158</v>
      </c>
    </row>
    <row r="7" spans="1:1" x14ac:dyDescent="0.35">
      <c r="A7" t="s">
        <v>159</v>
      </c>
    </row>
    <row r="8" spans="1:1" x14ac:dyDescent="0.35">
      <c r="A8" t="s">
        <v>160</v>
      </c>
    </row>
    <row r="9" spans="1:1" x14ac:dyDescent="0.35">
      <c r="A9" t="s">
        <v>164</v>
      </c>
    </row>
    <row r="10" spans="1:1" x14ac:dyDescent="0.35">
      <c r="A10" t="s">
        <v>165</v>
      </c>
    </row>
    <row r="11" spans="1:1" x14ac:dyDescent="0.35">
      <c r="A11" t="s">
        <v>166</v>
      </c>
    </row>
    <row r="12" spans="1:1" x14ac:dyDescent="0.35">
      <c r="A12" t="s">
        <v>182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CEA2-4C90-48C3-8CF9-385B40FA8B6E}">
  <sheetPr>
    <tabColor theme="1" tint="0.249977111117893"/>
  </sheetPr>
  <dimension ref="A1:Z370"/>
  <sheetViews>
    <sheetView zoomScale="80" zoomScaleNormal="80" workbookViewId="0">
      <pane ySplit="1" topLeftCell="A2" activePane="bottomLeft" state="frozen"/>
      <selection pane="bottomLeft" activeCell="M1" sqref="M1"/>
    </sheetView>
  </sheetViews>
  <sheetFormatPr defaultRowHeight="14.5" x14ac:dyDescent="0.35"/>
  <cols>
    <col min="1" max="1" width="7" customWidth="1"/>
    <col min="2" max="2" width="8.26953125" customWidth="1"/>
    <col min="3" max="3" width="3.81640625" customWidth="1"/>
    <col min="4" max="4" width="11.453125" customWidth="1"/>
    <col min="5" max="5" width="13.6328125" customWidth="1"/>
    <col min="6" max="6" width="5.54296875" customWidth="1"/>
    <col min="7" max="7" width="4" customWidth="1"/>
    <col min="8" max="8" width="4.6328125" customWidth="1"/>
    <col min="9" max="9" width="5.7265625" customWidth="1"/>
    <col min="10" max="10" width="10.6328125" customWidth="1"/>
    <col min="11" max="11" width="0.36328125" customWidth="1"/>
    <col min="12" max="12" width="8.54296875" customWidth="1"/>
    <col min="13" max="13" width="9.36328125" customWidth="1"/>
    <col min="14" max="14" width="7.1796875" customWidth="1"/>
    <col min="15" max="15" width="14.26953125" bestFit="1" customWidth="1"/>
    <col min="16" max="16" width="12.54296875" bestFit="1" customWidth="1"/>
    <col min="17" max="17" width="4.26953125" customWidth="1"/>
    <col min="18" max="18" width="9.1796875" customWidth="1"/>
    <col min="19" max="19" width="8" customWidth="1"/>
    <col min="20" max="20" width="10.08984375" customWidth="1"/>
    <col min="21" max="22" width="9.6328125" customWidth="1"/>
    <col min="23" max="23" width="9.7265625" bestFit="1" customWidth="1"/>
    <col min="24" max="24" width="5.1796875" customWidth="1"/>
    <col min="25" max="25" width="9.26953125" customWidth="1"/>
    <col min="26" max="26" width="7.81640625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1001</v>
      </c>
      <c r="B2">
        <v>41666</v>
      </c>
      <c r="C2">
        <v>27</v>
      </c>
      <c r="D2" t="s">
        <v>26</v>
      </c>
      <c r="E2" t="s">
        <v>27</v>
      </c>
      <c r="F2" t="s">
        <v>28</v>
      </c>
      <c r="G2" t="s">
        <v>29</v>
      </c>
      <c r="H2">
        <v>99999</v>
      </c>
      <c r="I2" t="s">
        <v>30</v>
      </c>
      <c r="J2" t="s">
        <v>31</v>
      </c>
      <c r="K2" t="s">
        <v>32</v>
      </c>
      <c r="L2">
        <v>41668</v>
      </c>
      <c r="M2" t="s">
        <v>33</v>
      </c>
      <c r="N2" t="s">
        <v>34</v>
      </c>
      <c r="O2" t="s">
        <v>27</v>
      </c>
      <c r="P2" t="s">
        <v>28</v>
      </c>
      <c r="Q2" t="s">
        <v>29</v>
      </c>
      <c r="R2">
        <v>99999</v>
      </c>
      <c r="S2" t="s">
        <v>30</v>
      </c>
      <c r="T2" t="s">
        <v>35</v>
      </c>
      <c r="U2" t="s">
        <v>36</v>
      </c>
      <c r="V2" t="s">
        <v>37</v>
      </c>
      <c r="W2">
        <v>14</v>
      </c>
      <c r="X2">
        <v>49</v>
      </c>
      <c r="Y2">
        <v>686</v>
      </c>
      <c r="Z2">
        <v>66.542000000000002</v>
      </c>
    </row>
    <row r="3" spans="1:26" x14ac:dyDescent="0.35">
      <c r="A3">
        <v>1002</v>
      </c>
      <c r="B3">
        <v>41666</v>
      </c>
      <c r="C3">
        <v>27</v>
      </c>
      <c r="D3" t="s">
        <v>26</v>
      </c>
      <c r="E3" t="s">
        <v>27</v>
      </c>
      <c r="F3" t="s">
        <v>28</v>
      </c>
      <c r="G3" t="s">
        <v>29</v>
      </c>
      <c r="H3">
        <v>99999</v>
      </c>
      <c r="I3" t="s">
        <v>30</v>
      </c>
      <c r="J3" t="s">
        <v>31</v>
      </c>
      <c r="K3" t="s">
        <v>32</v>
      </c>
      <c r="L3">
        <v>41668</v>
      </c>
      <c r="M3" t="s">
        <v>33</v>
      </c>
      <c r="N3" t="s">
        <v>34</v>
      </c>
      <c r="O3" t="s">
        <v>27</v>
      </c>
      <c r="P3" t="s">
        <v>28</v>
      </c>
      <c r="Q3" t="s">
        <v>29</v>
      </c>
      <c r="R3">
        <v>99999</v>
      </c>
      <c r="S3" t="s">
        <v>30</v>
      </c>
      <c r="T3" t="s">
        <v>35</v>
      </c>
      <c r="U3" t="s">
        <v>38</v>
      </c>
      <c r="V3" t="s">
        <v>39</v>
      </c>
      <c r="W3">
        <v>3.5</v>
      </c>
      <c r="X3">
        <v>47</v>
      </c>
      <c r="Y3">
        <v>164.5</v>
      </c>
      <c r="Z3">
        <v>16.6145</v>
      </c>
    </row>
    <row r="4" spans="1:26" x14ac:dyDescent="0.35">
      <c r="A4">
        <v>1003</v>
      </c>
      <c r="B4">
        <v>41643</v>
      </c>
      <c r="C4">
        <v>4</v>
      </c>
      <c r="D4" t="s">
        <v>40</v>
      </c>
      <c r="E4" t="s">
        <v>41</v>
      </c>
      <c r="F4" t="s">
        <v>42</v>
      </c>
      <c r="G4" t="s">
        <v>43</v>
      </c>
      <c r="H4">
        <v>99999</v>
      </c>
      <c r="I4" t="s">
        <v>30</v>
      </c>
      <c r="J4" t="s">
        <v>44</v>
      </c>
      <c r="K4" t="s">
        <v>45</v>
      </c>
      <c r="L4">
        <v>41645</v>
      </c>
      <c r="M4" t="s">
        <v>46</v>
      </c>
      <c r="N4" t="s">
        <v>47</v>
      </c>
      <c r="O4" t="s">
        <v>41</v>
      </c>
      <c r="P4" t="s">
        <v>42</v>
      </c>
      <c r="Q4" t="s">
        <v>43</v>
      </c>
      <c r="R4">
        <v>99999</v>
      </c>
      <c r="S4" t="s">
        <v>30</v>
      </c>
      <c r="T4" t="s">
        <v>48</v>
      </c>
      <c r="U4" t="s">
        <v>49</v>
      </c>
      <c r="V4" t="s">
        <v>39</v>
      </c>
      <c r="W4">
        <v>30</v>
      </c>
      <c r="X4">
        <v>69</v>
      </c>
      <c r="Y4">
        <v>2070</v>
      </c>
      <c r="Z4">
        <v>198.72</v>
      </c>
    </row>
    <row r="5" spans="1:26" x14ac:dyDescent="0.35">
      <c r="A5">
        <v>1004</v>
      </c>
      <c r="B5">
        <v>41643</v>
      </c>
      <c r="C5">
        <v>4</v>
      </c>
      <c r="D5" t="s">
        <v>40</v>
      </c>
      <c r="E5" t="s">
        <v>41</v>
      </c>
      <c r="F5" t="s">
        <v>42</v>
      </c>
      <c r="G5" t="s">
        <v>43</v>
      </c>
      <c r="H5">
        <v>99999</v>
      </c>
      <c r="I5" t="s">
        <v>30</v>
      </c>
      <c r="J5" t="s">
        <v>44</v>
      </c>
      <c r="K5" t="s">
        <v>45</v>
      </c>
      <c r="L5">
        <v>41645</v>
      </c>
      <c r="M5" t="s">
        <v>46</v>
      </c>
      <c r="N5" t="s">
        <v>47</v>
      </c>
      <c r="O5" t="s">
        <v>41</v>
      </c>
      <c r="P5" t="s">
        <v>42</v>
      </c>
      <c r="Q5" t="s">
        <v>43</v>
      </c>
      <c r="R5">
        <v>99999</v>
      </c>
      <c r="S5" t="s">
        <v>30</v>
      </c>
      <c r="T5" t="s">
        <v>48</v>
      </c>
      <c r="U5" t="s">
        <v>50</v>
      </c>
      <c r="V5" t="s">
        <v>39</v>
      </c>
      <c r="W5">
        <v>53</v>
      </c>
      <c r="X5">
        <v>89</v>
      </c>
      <c r="Y5">
        <v>4717</v>
      </c>
      <c r="Z5">
        <v>448.11500000000001</v>
      </c>
    </row>
    <row r="6" spans="1:26" x14ac:dyDescent="0.35">
      <c r="A6">
        <v>1005</v>
      </c>
      <c r="B6">
        <v>41643</v>
      </c>
      <c r="C6">
        <v>4</v>
      </c>
      <c r="D6" t="s">
        <v>40</v>
      </c>
      <c r="E6" t="s">
        <v>41</v>
      </c>
      <c r="F6" t="s">
        <v>42</v>
      </c>
      <c r="G6" t="s">
        <v>43</v>
      </c>
      <c r="H6">
        <v>99999</v>
      </c>
      <c r="I6" t="s">
        <v>30</v>
      </c>
      <c r="J6" t="s">
        <v>44</v>
      </c>
      <c r="K6" t="s">
        <v>45</v>
      </c>
      <c r="L6">
        <v>41645</v>
      </c>
      <c r="M6" t="s">
        <v>46</v>
      </c>
      <c r="N6" t="s">
        <v>47</v>
      </c>
      <c r="O6" t="s">
        <v>41</v>
      </c>
      <c r="P6" t="s">
        <v>42</v>
      </c>
      <c r="Q6" t="s">
        <v>43</v>
      </c>
      <c r="R6">
        <v>99999</v>
      </c>
      <c r="S6" t="s">
        <v>30</v>
      </c>
      <c r="T6" t="s">
        <v>48</v>
      </c>
      <c r="U6" t="s">
        <v>38</v>
      </c>
      <c r="V6" t="s">
        <v>39</v>
      </c>
      <c r="W6">
        <v>3.5</v>
      </c>
      <c r="X6">
        <v>11</v>
      </c>
      <c r="Y6">
        <v>38.5</v>
      </c>
      <c r="Z6">
        <v>3.7345000000000002</v>
      </c>
    </row>
    <row r="7" spans="1:26" x14ac:dyDescent="0.35">
      <c r="A7">
        <v>1006</v>
      </c>
      <c r="B7">
        <v>41651</v>
      </c>
      <c r="C7">
        <v>12</v>
      </c>
      <c r="D7" t="s">
        <v>51</v>
      </c>
      <c r="E7" t="s">
        <v>52</v>
      </c>
      <c r="F7" t="s">
        <v>28</v>
      </c>
      <c r="G7" t="s">
        <v>29</v>
      </c>
      <c r="H7">
        <v>99999</v>
      </c>
      <c r="I7" t="s">
        <v>30</v>
      </c>
      <c r="J7" t="s">
        <v>31</v>
      </c>
      <c r="K7" t="s">
        <v>32</v>
      </c>
      <c r="L7">
        <v>41653</v>
      </c>
      <c r="M7" t="s">
        <v>33</v>
      </c>
      <c r="N7" t="s">
        <v>53</v>
      </c>
      <c r="O7" t="s">
        <v>52</v>
      </c>
      <c r="P7" t="s">
        <v>28</v>
      </c>
      <c r="Q7" t="s">
        <v>29</v>
      </c>
      <c r="R7">
        <v>99999</v>
      </c>
      <c r="S7" t="s">
        <v>30</v>
      </c>
      <c r="T7" t="s">
        <v>48</v>
      </c>
      <c r="U7" t="s">
        <v>54</v>
      </c>
      <c r="V7" t="s">
        <v>37</v>
      </c>
      <c r="W7">
        <v>18</v>
      </c>
      <c r="X7">
        <v>81</v>
      </c>
      <c r="Y7">
        <v>1458</v>
      </c>
      <c r="Z7">
        <v>141.42600000000002</v>
      </c>
    </row>
    <row r="8" spans="1:26" x14ac:dyDescent="0.35">
      <c r="A8">
        <v>1007</v>
      </c>
      <c r="B8">
        <v>41651</v>
      </c>
      <c r="C8">
        <v>12</v>
      </c>
      <c r="D8" t="s">
        <v>51</v>
      </c>
      <c r="E8" t="s">
        <v>52</v>
      </c>
      <c r="F8" t="s">
        <v>28</v>
      </c>
      <c r="G8" t="s">
        <v>29</v>
      </c>
      <c r="H8">
        <v>99999</v>
      </c>
      <c r="I8" t="s">
        <v>30</v>
      </c>
      <c r="J8" t="s">
        <v>31</v>
      </c>
      <c r="K8" t="s">
        <v>32</v>
      </c>
      <c r="L8">
        <v>41653</v>
      </c>
      <c r="M8" t="s">
        <v>33</v>
      </c>
      <c r="N8" t="s">
        <v>53</v>
      </c>
      <c r="O8" t="s">
        <v>52</v>
      </c>
      <c r="P8" t="s">
        <v>28</v>
      </c>
      <c r="Q8" t="s">
        <v>29</v>
      </c>
      <c r="R8">
        <v>99999</v>
      </c>
      <c r="S8" t="s">
        <v>30</v>
      </c>
      <c r="T8" t="s">
        <v>48</v>
      </c>
      <c r="U8" t="s">
        <v>55</v>
      </c>
      <c r="V8" t="s">
        <v>37</v>
      </c>
      <c r="W8">
        <v>46</v>
      </c>
      <c r="X8">
        <v>44</v>
      </c>
      <c r="Y8">
        <v>2024</v>
      </c>
      <c r="Z8">
        <v>198.352</v>
      </c>
    </row>
    <row r="9" spans="1:26" x14ac:dyDescent="0.35">
      <c r="A9">
        <v>1008</v>
      </c>
      <c r="B9">
        <v>41647</v>
      </c>
      <c r="C9">
        <v>8</v>
      </c>
      <c r="D9" t="s">
        <v>56</v>
      </c>
      <c r="E9" t="s">
        <v>57</v>
      </c>
      <c r="F9" t="s">
        <v>58</v>
      </c>
      <c r="G9" t="s">
        <v>59</v>
      </c>
      <c r="H9">
        <v>99999</v>
      </c>
      <c r="I9" t="s">
        <v>30</v>
      </c>
      <c r="J9" t="s">
        <v>60</v>
      </c>
      <c r="K9" t="s">
        <v>61</v>
      </c>
      <c r="L9">
        <v>41649</v>
      </c>
      <c r="M9" t="s">
        <v>62</v>
      </c>
      <c r="N9" t="s">
        <v>63</v>
      </c>
      <c r="O9" t="s">
        <v>57</v>
      </c>
      <c r="P9" t="s">
        <v>58</v>
      </c>
      <c r="Q9" t="s">
        <v>59</v>
      </c>
      <c r="R9">
        <v>99999</v>
      </c>
      <c r="S9" t="s">
        <v>30</v>
      </c>
      <c r="T9" t="s">
        <v>48</v>
      </c>
      <c r="U9" t="s">
        <v>64</v>
      </c>
      <c r="V9" t="s">
        <v>65</v>
      </c>
      <c r="W9">
        <v>9.1999999999999993</v>
      </c>
      <c r="X9">
        <v>38</v>
      </c>
      <c r="Y9">
        <v>349.59999999999997</v>
      </c>
      <c r="Z9">
        <v>36.008800000000001</v>
      </c>
    </row>
    <row r="10" spans="1:26" x14ac:dyDescent="0.35">
      <c r="A10">
        <v>1009</v>
      </c>
      <c r="B10">
        <v>41643</v>
      </c>
      <c r="C10">
        <v>4</v>
      </c>
      <c r="D10" t="s">
        <v>40</v>
      </c>
      <c r="E10" t="s">
        <v>41</v>
      </c>
      <c r="F10" t="s">
        <v>42</v>
      </c>
      <c r="G10" t="s">
        <v>43</v>
      </c>
      <c r="H10">
        <v>99999</v>
      </c>
      <c r="I10" t="s">
        <v>30</v>
      </c>
      <c r="J10" t="s">
        <v>44</v>
      </c>
      <c r="K10" t="s">
        <v>45</v>
      </c>
      <c r="L10">
        <v>41645</v>
      </c>
      <c r="M10" t="s">
        <v>62</v>
      </c>
      <c r="N10" t="s">
        <v>47</v>
      </c>
      <c r="O10" t="s">
        <v>41</v>
      </c>
      <c r="P10" t="s">
        <v>42</v>
      </c>
      <c r="Q10" t="s">
        <v>43</v>
      </c>
      <c r="R10">
        <v>99999</v>
      </c>
      <c r="S10" t="s">
        <v>30</v>
      </c>
      <c r="T10" t="s">
        <v>35</v>
      </c>
      <c r="U10" t="s">
        <v>64</v>
      </c>
      <c r="V10" t="s">
        <v>65</v>
      </c>
      <c r="W10">
        <v>9.1999999999999993</v>
      </c>
      <c r="X10">
        <v>88</v>
      </c>
      <c r="Y10">
        <v>809.59999999999991</v>
      </c>
      <c r="Z10">
        <v>79.340799999999987</v>
      </c>
    </row>
    <row r="11" spans="1:26" x14ac:dyDescent="0.35">
      <c r="A11">
        <v>1010</v>
      </c>
      <c r="B11">
        <v>41668</v>
      </c>
      <c r="C11">
        <v>29</v>
      </c>
      <c r="D11" t="s">
        <v>66</v>
      </c>
      <c r="E11" t="s">
        <v>67</v>
      </c>
      <c r="F11" t="s">
        <v>68</v>
      </c>
      <c r="G11" t="s">
        <v>69</v>
      </c>
      <c r="H11">
        <v>99999</v>
      </c>
      <c r="I11" t="s">
        <v>30</v>
      </c>
      <c r="J11" t="s">
        <v>70</v>
      </c>
      <c r="K11" t="s">
        <v>32</v>
      </c>
      <c r="L11">
        <v>41670</v>
      </c>
      <c r="M11" t="s">
        <v>33</v>
      </c>
      <c r="N11" t="s">
        <v>71</v>
      </c>
      <c r="O11" t="s">
        <v>67</v>
      </c>
      <c r="P11" t="s">
        <v>68</v>
      </c>
      <c r="Q11" t="s">
        <v>69</v>
      </c>
      <c r="R11">
        <v>99999</v>
      </c>
      <c r="S11" t="s">
        <v>30</v>
      </c>
      <c r="T11" t="s">
        <v>35</v>
      </c>
      <c r="U11" t="s">
        <v>72</v>
      </c>
      <c r="V11" t="s">
        <v>73</v>
      </c>
      <c r="W11">
        <v>12.75</v>
      </c>
      <c r="X11">
        <v>94</v>
      </c>
      <c r="Y11">
        <v>1198.5</v>
      </c>
      <c r="Z11">
        <v>122.24700000000001</v>
      </c>
    </row>
    <row r="12" spans="1:26" x14ac:dyDescent="0.35">
      <c r="A12">
        <v>1011</v>
      </c>
      <c r="B12">
        <v>41642</v>
      </c>
      <c r="C12">
        <v>3</v>
      </c>
      <c r="D12" t="s">
        <v>74</v>
      </c>
      <c r="E12" t="s">
        <v>75</v>
      </c>
      <c r="F12" t="s">
        <v>76</v>
      </c>
      <c r="G12" t="s">
        <v>77</v>
      </c>
      <c r="H12">
        <v>99999</v>
      </c>
      <c r="I12" t="s">
        <v>30</v>
      </c>
      <c r="J12" t="s">
        <v>31</v>
      </c>
      <c r="K12" t="s">
        <v>32</v>
      </c>
      <c r="L12">
        <v>41644</v>
      </c>
      <c r="M12" t="s">
        <v>33</v>
      </c>
      <c r="N12" t="s">
        <v>78</v>
      </c>
      <c r="O12" t="s">
        <v>75</v>
      </c>
      <c r="P12" t="s">
        <v>76</v>
      </c>
      <c r="Q12" t="s">
        <v>77</v>
      </c>
      <c r="R12">
        <v>99999</v>
      </c>
      <c r="S12" t="s">
        <v>30</v>
      </c>
      <c r="T12" t="s">
        <v>79</v>
      </c>
      <c r="U12" t="s">
        <v>80</v>
      </c>
      <c r="V12" t="s">
        <v>81</v>
      </c>
      <c r="W12">
        <v>9.65</v>
      </c>
      <c r="X12">
        <v>91</v>
      </c>
      <c r="Y12">
        <v>878.15</v>
      </c>
      <c r="Z12">
        <v>92.205749999999995</v>
      </c>
    </row>
    <row r="13" spans="1:26" x14ac:dyDescent="0.35">
      <c r="A13">
        <v>1012</v>
      </c>
      <c r="B13">
        <v>41645</v>
      </c>
      <c r="C13">
        <v>6</v>
      </c>
      <c r="D13" t="s">
        <v>82</v>
      </c>
      <c r="E13" t="s">
        <v>83</v>
      </c>
      <c r="F13" t="s">
        <v>84</v>
      </c>
      <c r="G13" t="s">
        <v>85</v>
      </c>
      <c r="H13">
        <v>99999</v>
      </c>
      <c r="I13" t="s">
        <v>30</v>
      </c>
      <c r="J13" t="s">
        <v>86</v>
      </c>
      <c r="K13" t="s">
        <v>61</v>
      </c>
      <c r="L13">
        <v>41647</v>
      </c>
      <c r="M13" t="s">
        <v>33</v>
      </c>
      <c r="N13" t="s">
        <v>87</v>
      </c>
      <c r="O13" t="s">
        <v>83</v>
      </c>
      <c r="P13" t="s">
        <v>84</v>
      </c>
      <c r="Q13" t="s">
        <v>85</v>
      </c>
      <c r="R13">
        <v>99999</v>
      </c>
      <c r="S13" t="s">
        <v>30</v>
      </c>
      <c r="T13" t="s">
        <v>48</v>
      </c>
      <c r="U13" t="s">
        <v>88</v>
      </c>
      <c r="V13" t="s">
        <v>89</v>
      </c>
      <c r="W13">
        <v>40</v>
      </c>
      <c r="X13">
        <v>32</v>
      </c>
      <c r="Y13">
        <v>1280</v>
      </c>
      <c r="Z13">
        <v>133.12</v>
      </c>
    </row>
    <row r="14" spans="1:26" x14ac:dyDescent="0.35">
      <c r="A14">
        <v>1013</v>
      </c>
      <c r="B14">
        <v>41667</v>
      </c>
      <c r="C14">
        <v>28</v>
      </c>
      <c r="D14" t="s">
        <v>90</v>
      </c>
      <c r="E14" t="s">
        <v>91</v>
      </c>
      <c r="F14" t="s">
        <v>92</v>
      </c>
      <c r="G14" t="s">
        <v>93</v>
      </c>
      <c r="H14">
        <v>99999</v>
      </c>
      <c r="I14" t="s">
        <v>30</v>
      </c>
      <c r="J14" t="s">
        <v>94</v>
      </c>
      <c r="K14" t="s">
        <v>95</v>
      </c>
      <c r="L14">
        <v>41669</v>
      </c>
      <c r="M14" t="s">
        <v>62</v>
      </c>
      <c r="N14" t="s">
        <v>96</v>
      </c>
      <c r="O14" t="s">
        <v>91</v>
      </c>
      <c r="P14" t="s">
        <v>92</v>
      </c>
      <c r="Q14" t="s">
        <v>93</v>
      </c>
      <c r="R14">
        <v>99999</v>
      </c>
      <c r="S14" t="s">
        <v>30</v>
      </c>
      <c r="T14" t="s">
        <v>35</v>
      </c>
      <c r="U14" t="s">
        <v>55</v>
      </c>
      <c r="V14" t="s">
        <v>37</v>
      </c>
      <c r="W14">
        <v>46</v>
      </c>
      <c r="X14">
        <v>55</v>
      </c>
      <c r="Y14">
        <v>2530</v>
      </c>
      <c r="Z14">
        <v>253</v>
      </c>
    </row>
    <row r="15" spans="1:26" x14ac:dyDescent="0.35">
      <c r="A15">
        <v>1014</v>
      </c>
      <c r="B15">
        <v>41647</v>
      </c>
      <c r="C15">
        <v>8</v>
      </c>
      <c r="D15" t="s">
        <v>56</v>
      </c>
      <c r="E15" t="s">
        <v>57</v>
      </c>
      <c r="F15" t="s">
        <v>58</v>
      </c>
      <c r="G15" t="s">
        <v>59</v>
      </c>
      <c r="H15">
        <v>99999</v>
      </c>
      <c r="I15" t="s">
        <v>30</v>
      </c>
      <c r="J15" t="s">
        <v>60</v>
      </c>
      <c r="K15" t="s">
        <v>61</v>
      </c>
      <c r="L15">
        <v>41649</v>
      </c>
      <c r="M15" t="s">
        <v>62</v>
      </c>
      <c r="N15" t="s">
        <v>63</v>
      </c>
      <c r="O15" t="s">
        <v>57</v>
      </c>
      <c r="P15" t="s">
        <v>58</v>
      </c>
      <c r="Q15" t="s">
        <v>59</v>
      </c>
      <c r="R15">
        <v>99999</v>
      </c>
      <c r="S15" t="s">
        <v>30</v>
      </c>
      <c r="T15" t="s">
        <v>35</v>
      </c>
      <c r="U15" t="s">
        <v>72</v>
      </c>
      <c r="V15" t="s">
        <v>73</v>
      </c>
      <c r="W15">
        <v>12.75</v>
      </c>
      <c r="X15">
        <v>47</v>
      </c>
      <c r="Y15">
        <v>599.25</v>
      </c>
      <c r="Z15">
        <v>61.722750000000005</v>
      </c>
    </row>
    <row r="16" spans="1:26" x14ac:dyDescent="0.35">
      <c r="A16">
        <v>1015</v>
      </c>
      <c r="B16">
        <v>41649</v>
      </c>
      <c r="C16">
        <v>10</v>
      </c>
      <c r="D16" t="s">
        <v>97</v>
      </c>
      <c r="E16" t="s">
        <v>98</v>
      </c>
      <c r="F16" t="s">
        <v>99</v>
      </c>
      <c r="G16" t="s">
        <v>100</v>
      </c>
      <c r="H16">
        <v>99999</v>
      </c>
      <c r="I16" t="s">
        <v>30</v>
      </c>
      <c r="J16" t="s">
        <v>101</v>
      </c>
      <c r="K16" t="s">
        <v>45</v>
      </c>
      <c r="L16">
        <v>41651</v>
      </c>
      <c r="M16" t="s">
        <v>33</v>
      </c>
      <c r="N16" t="s">
        <v>102</v>
      </c>
      <c r="O16" t="s">
        <v>98</v>
      </c>
      <c r="P16" t="s">
        <v>99</v>
      </c>
      <c r="Q16" t="s">
        <v>100</v>
      </c>
      <c r="R16">
        <v>99999</v>
      </c>
      <c r="S16" t="s">
        <v>30</v>
      </c>
      <c r="T16" t="s">
        <v>48</v>
      </c>
      <c r="U16" t="s">
        <v>103</v>
      </c>
      <c r="V16" t="s">
        <v>37</v>
      </c>
      <c r="W16">
        <v>2.99</v>
      </c>
      <c r="X16">
        <v>90</v>
      </c>
      <c r="Y16">
        <v>269.10000000000002</v>
      </c>
      <c r="Z16">
        <v>27.717300000000005</v>
      </c>
    </row>
    <row r="17" spans="1:26" x14ac:dyDescent="0.35">
      <c r="A17">
        <v>1016</v>
      </c>
      <c r="B17">
        <v>41646</v>
      </c>
      <c r="C17">
        <v>7</v>
      </c>
      <c r="D17" t="s">
        <v>104</v>
      </c>
      <c r="E17" t="s">
        <v>105</v>
      </c>
      <c r="F17" t="s">
        <v>106</v>
      </c>
      <c r="G17" t="s">
        <v>107</v>
      </c>
      <c r="H17">
        <v>99999</v>
      </c>
      <c r="I17" t="s">
        <v>30</v>
      </c>
      <c r="J17" t="s">
        <v>60</v>
      </c>
      <c r="K17" t="s">
        <v>61</v>
      </c>
      <c r="N17" t="s">
        <v>108</v>
      </c>
      <c r="O17" t="s">
        <v>105</v>
      </c>
      <c r="P17" t="s">
        <v>106</v>
      </c>
      <c r="Q17" t="s">
        <v>107</v>
      </c>
      <c r="R17">
        <v>99999</v>
      </c>
      <c r="S17" t="s">
        <v>30</v>
      </c>
      <c r="U17" t="s">
        <v>55</v>
      </c>
      <c r="V17" t="s">
        <v>37</v>
      </c>
      <c r="W17">
        <v>46</v>
      </c>
      <c r="X17">
        <v>24</v>
      </c>
      <c r="Y17">
        <v>1104</v>
      </c>
      <c r="Z17">
        <v>110.4</v>
      </c>
    </row>
    <row r="18" spans="1:26" x14ac:dyDescent="0.35">
      <c r="A18">
        <v>1017</v>
      </c>
      <c r="B18">
        <v>41649</v>
      </c>
      <c r="C18">
        <v>10</v>
      </c>
      <c r="D18" t="s">
        <v>97</v>
      </c>
      <c r="E18" t="s">
        <v>98</v>
      </c>
      <c r="F18" t="s">
        <v>99</v>
      </c>
      <c r="G18" t="s">
        <v>100</v>
      </c>
      <c r="H18">
        <v>99999</v>
      </c>
      <c r="I18" t="s">
        <v>30</v>
      </c>
      <c r="J18" t="s">
        <v>101</v>
      </c>
      <c r="K18" t="s">
        <v>45</v>
      </c>
      <c r="L18">
        <v>41651</v>
      </c>
      <c r="M18" t="s">
        <v>46</v>
      </c>
      <c r="N18" t="s">
        <v>102</v>
      </c>
      <c r="O18" t="s">
        <v>98</v>
      </c>
      <c r="P18" t="s">
        <v>99</v>
      </c>
      <c r="Q18" t="s">
        <v>100</v>
      </c>
      <c r="R18">
        <v>99999</v>
      </c>
      <c r="S18" t="s">
        <v>30</v>
      </c>
      <c r="U18" t="s">
        <v>109</v>
      </c>
      <c r="V18" t="s">
        <v>110</v>
      </c>
      <c r="W18">
        <v>25</v>
      </c>
      <c r="X18">
        <v>34</v>
      </c>
      <c r="Y18">
        <v>850</v>
      </c>
      <c r="Z18">
        <v>80.75</v>
      </c>
    </row>
    <row r="19" spans="1:26" x14ac:dyDescent="0.35">
      <c r="A19">
        <v>1018</v>
      </c>
      <c r="B19">
        <v>41649</v>
      </c>
      <c r="C19">
        <v>10</v>
      </c>
      <c r="D19" t="s">
        <v>97</v>
      </c>
      <c r="E19" t="s">
        <v>98</v>
      </c>
      <c r="F19" t="s">
        <v>99</v>
      </c>
      <c r="G19" t="s">
        <v>100</v>
      </c>
      <c r="H19">
        <v>99999</v>
      </c>
      <c r="I19" t="s">
        <v>30</v>
      </c>
      <c r="J19" t="s">
        <v>101</v>
      </c>
      <c r="K19" t="s">
        <v>45</v>
      </c>
      <c r="L19">
        <v>41651</v>
      </c>
      <c r="M19" t="s">
        <v>46</v>
      </c>
      <c r="N19" t="s">
        <v>102</v>
      </c>
      <c r="O19" t="s">
        <v>98</v>
      </c>
      <c r="P19" t="s">
        <v>99</v>
      </c>
      <c r="Q19" t="s">
        <v>100</v>
      </c>
      <c r="R19">
        <v>99999</v>
      </c>
      <c r="S19" t="s">
        <v>30</v>
      </c>
      <c r="U19" t="s">
        <v>111</v>
      </c>
      <c r="V19" t="s">
        <v>112</v>
      </c>
      <c r="W19">
        <v>22</v>
      </c>
      <c r="X19">
        <v>17</v>
      </c>
      <c r="Y19">
        <v>374</v>
      </c>
      <c r="Z19">
        <v>35.903999999999996</v>
      </c>
    </row>
    <row r="20" spans="1:26" x14ac:dyDescent="0.35">
      <c r="A20">
        <v>1019</v>
      </c>
      <c r="B20">
        <v>41649</v>
      </c>
      <c r="C20">
        <v>10</v>
      </c>
      <c r="D20" t="s">
        <v>97</v>
      </c>
      <c r="E20" t="s">
        <v>98</v>
      </c>
      <c r="F20" t="s">
        <v>99</v>
      </c>
      <c r="G20" t="s">
        <v>100</v>
      </c>
      <c r="H20">
        <v>99999</v>
      </c>
      <c r="I20" t="s">
        <v>30</v>
      </c>
      <c r="J20" t="s">
        <v>101</v>
      </c>
      <c r="K20" t="s">
        <v>45</v>
      </c>
      <c r="L20">
        <v>41651</v>
      </c>
      <c r="M20" t="s">
        <v>46</v>
      </c>
      <c r="N20" t="s">
        <v>102</v>
      </c>
      <c r="O20" t="s">
        <v>98</v>
      </c>
      <c r="P20" t="s">
        <v>99</v>
      </c>
      <c r="Q20" t="s">
        <v>100</v>
      </c>
      <c r="R20">
        <v>99999</v>
      </c>
      <c r="S20" t="s">
        <v>30</v>
      </c>
      <c r="U20" t="s">
        <v>64</v>
      </c>
      <c r="V20" t="s">
        <v>65</v>
      </c>
      <c r="W20">
        <v>9.1999999999999993</v>
      </c>
      <c r="X20">
        <v>44</v>
      </c>
      <c r="Y20">
        <v>404.79999999999995</v>
      </c>
      <c r="Z20">
        <v>42.099199999999996</v>
      </c>
    </row>
    <row r="21" spans="1:26" x14ac:dyDescent="0.35">
      <c r="A21">
        <v>1020</v>
      </c>
      <c r="B21">
        <v>41650</v>
      </c>
      <c r="C21">
        <v>11</v>
      </c>
      <c r="D21" t="s">
        <v>113</v>
      </c>
      <c r="E21" t="s">
        <v>114</v>
      </c>
      <c r="F21" t="s">
        <v>115</v>
      </c>
      <c r="G21" t="s">
        <v>116</v>
      </c>
      <c r="H21">
        <v>99999</v>
      </c>
      <c r="I21" t="s">
        <v>30</v>
      </c>
      <c r="J21" t="s">
        <v>94</v>
      </c>
      <c r="K21" t="s">
        <v>95</v>
      </c>
      <c r="M21" t="s">
        <v>62</v>
      </c>
      <c r="N21" t="s">
        <v>117</v>
      </c>
      <c r="O21" t="s">
        <v>114</v>
      </c>
      <c r="P21" t="s">
        <v>115</v>
      </c>
      <c r="Q21" t="s">
        <v>116</v>
      </c>
      <c r="R21">
        <v>99999</v>
      </c>
      <c r="S21" t="s">
        <v>30</v>
      </c>
      <c r="U21" t="s">
        <v>38</v>
      </c>
      <c r="V21" t="s">
        <v>39</v>
      </c>
      <c r="W21">
        <v>3.5</v>
      </c>
      <c r="X21">
        <v>81</v>
      </c>
      <c r="Y21">
        <v>283.5</v>
      </c>
      <c r="Z21">
        <v>27.499500000000001</v>
      </c>
    </row>
    <row r="22" spans="1:26" x14ac:dyDescent="0.35">
      <c r="A22">
        <v>1021</v>
      </c>
      <c r="B22">
        <v>41650</v>
      </c>
      <c r="C22">
        <v>11</v>
      </c>
      <c r="D22" t="s">
        <v>113</v>
      </c>
      <c r="E22" t="s">
        <v>114</v>
      </c>
      <c r="F22" t="s">
        <v>115</v>
      </c>
      <c r="G22" t="s">
        <v>116</v>
      </c>
      <c r="H22">
        <v>99999</v>
      </c>
      <c r="I22" t="s">
        <v>30</v>
      </c>
      <c r="J22" t="s">
        <v>94</v>
      </c>
      <c r="K22" t="s">
        <v>95</v>
      </c>
      <c r="M22" t="s">
        <v>62</v>
      </c>
      <c r="N22" t="s">
        <v>117</v>
      </c>
      <c r="O22" t="s">
        <v>114</v>
      </c>
      <c r="P22" t="s">
        <v>115</v>
      </c>
      <c r="Q22" t="s">
        <v>116</v>
      </c>
      <c r="R22">
        <v>99999</v>
      </c>
      <c r="S22" t="s">
        <v>30</v>
      </c>
      <c r="U22" t="s">
        <v>103</v>
      </c>
      <c r="V22" t="s">
        <v>37</v>
      </c>
      <c r="W22">
        <v>2.99</v>
      </c>
      <c r="X22">
        <v>49</v>
      </c>
      <c r="Y22">
        <v>146.51000000000002</v>
      </c>
      <c r="Z22">
        <v>15.090530000000005</v>
      </c>
    </row>
    <row r="23" spans="1:26" x14ac:dyDescent="0.35">
      <c r="A23">
        <v>1022</v>
      </c>
      <c r="B23">
        <v>41640</v>
      </c>
      <c r="C23">
        <v>1</v>
      </c>
      <c r="D23" t="s">
        <v>118</v>
      </c>
      <c r="E23" t="s">
        <v>119</v>
      </c>
      <c r="F23" t="s">
        <v>120</v>
      </c>
      <c r="G23" t="s">
        <v>121</v>
      </c>
      <c r="H23">
        <v>99999</v>
      </c>
      <c r="I23" t="s">
        <v>30</v>
      </c>
      <c r="J23" t="s">
        <v>60</v>
      </c>
      <c r="K23" t="s">
        <v>61</v>
      </c>
      <c r="N23" t="s">
        <v>122</v>
      </c>
      <c r="O23" t="s">
        <v>119</v>
      </c>
      <c r="P23" t="s">
        <v>120</v>
      </c>
      <c r="Q23" t="s">
        <v>121</v>
      </c>
      <c r="R23">
        <v>99999</v>
      </c>
      <c r="S23" t="s">
        <v>30</v>
      </c>
      <c r="U23" t="s">
        <v>54</v>
      </c>
      <c r="V23" t="s">
        <v>37</v>
      </c>
      <c r="W23">
        <v>18</v>
      </c>
      <c r="X23">
        <v>42</v>
      </c>
      <c r="Y23">
        <v>756</v>
      </c>
      <c r="Z23">
        <v>75.600000000000009</v>
      </c>
    </row>
    <row r="24" spans="1:26" x14ac:dyDescent="0.35">
      <c r="A24">
        <v>1023</v>
      </c>
      <c r="B24">
        <v>41640</v>
      </c>
      <c r="C24">
        <v>1</v>
      </c>
      <c r="D24" t="s">
        <v>118</v>
      </c>
      <c r="E24" t="s">
        <v>119</v>
      </c>
      <c r="F24" t="s">
        <v>120</v>
      </c>
      <c r="G24" t="s">
        <v>121</v>
      </c>
      <c r="H24">
        <v>99999</v>
      </c>
      <c r="I24" t="s">
        <v>30</v>
      </c>
      <c r="J24" t="s">
        <v>60</v>
      </c>
      <c r="K24" t="s">
        <v>61</v>
      </c>
      <c r="N24" t="s">
        <v>122</v>
      </c>
      <c r="O24" t="s">
        <v>119</v>
      </c>
      <c r="P24" t="s">
        <v>120</v>
      </c>
      <c r="Q24" t="s">
        <v>121</v>
      </c>
      <c r="R24">
        <v>99999</v>
      </c>
      <c r="S24" t="s">
        <v>30</v>
      </c>
      <c r="U24" t="s">
        <v>55</v>
      </c>
      <c r="V24" t="s">
        <v>37</v>
      </c>
      <c r="W24">
        <v>46</v>
      </c>
      <c r="X24">
        <v>58</v>
      </c>
      <c r="Y24">
        <v>2668</v>
      </c>
      <c r="Z24">
        <v>269.46800000000002</v>
      </c>
    </row>
    <row r="25" spans="1:26" x14ac:dyDescent="0.35">
      <c r="A25">
        <v>1024</v>
      </c>
      <c r="B25">
        <v>41640</v>
      </c>
      <c r="C25">
        <v>1</v>
      </c>
      <c r="D25" t="s">
        <v>118</v>
      </c>
      <c r="E25" t="s">
        <v>119</v>
      </c>
      <c r="F25" t="s">
        <v>120</v>
      </c>
      <c r="G25" t="s">
        <v>121</v>
      </c>
      <c r="H25">
        <v>99999</v>
      </c>
      <c r="I25" t="s">
        <v>30</v>
      </c>
      <c r="J25" t="s">
        <v>60</v>
      </c>
      <c r="K25" t="s">
        <v>61</v>
      </c>
      <c r="N25" t="s">
        <v>122</v>
      </c>
      <c r="O25" t="s">
        <v>119</v>
      </c>
      <c r="P25" t="s">
        <v>120</v>
      </c>
      <c r="Q25" t="s">
        <v>121</v>
      </c>
      <c r="R25">
        <v>99999</v>
      </c>
      <c r="S25" t="s">
        <v>30</v>
      </c>
      <c r="U25" t="s">
        <v>103</v>
      </c>
      <c r="V25" t="s">
        <v>37</v>
      </c>
      <c r="W25">
        <v>2.99</v>
      </c>
      <c r="X25">
        <v>67</v>
      </c>
      <c r="Y25">
        <v>200.33</v>
      </c>
      <c r="Z25">
        <v>20.033000000000001</v>
      </c>
    </row>
    <row r="26" spans="1:26" x14ac:dyDescent="0.35">
      <c r="A26">
        <v>1025</v>
      </c>
      <c r="B26">
        <v>41667</v>
      </c>
      <c r="C26">
        <v>28</v>
      </c>
      <c r="D26" t="s">
        <v>90</v>
      </c>
      <c r="E26" t="s">
        <v>91</v>
      </c>
      <c r="F26" t="s">
        <v>92</v>
      </c>
      <c r="G26" t="s">
        <v>93</v>
      </c>
      <c r="H26">
        <v>99999</v>
      </c>
      <c r="I26" t="s">
        <v>30</v>
      </c>
      <c r="J26" t="s">
        <v>94</v>
      </c>
      <c r="K26" t="s">
        <v>95</v>
      </c>
      <c r="L26">
        <v>41669</v>
      </c>
      <c r="M26" t="s">
        <v>62</v>
      </c>
      <c r="N26" t="s">
        <v>96</v>
      </c>
      <c r="O26" t="s">
        <v>91</v>
      </c>
      <c r="P26" t="s">
        <v>92</v>
      </c>
      <c r="Q26" t="s">
        <v>93</v>
      </c>
      <c r="R26">
        <v>99999</v>
      </c>
      <c r="S26" t="s">
        <v>30</v>
      </c>
      <c r="T26" t="s">
        <v>48</v>
      </c>
      <c r="U26" t="s">
        <v>80</v>
      </c>
      <c r="V26" t="s">
        <v>81</v>
      </c>
      <c r="W26">
        <v>9.65</v>
      </c>
      <c r="X26">
        <v>100</v>
      </c>
      <c r="Y26">
        <v>965</v>
      </c>
      <c r="Z26">
        <v>93.605000000000004</v>
      </c>
    </row>
    <row r="27" spans="1:26" x14ac:dyDescent="0.35">
      <c r="A27">
        <v>1026</v>
      </c>
      <c r="B27">
        <v>41667</v>
      </c>
      <c r="C27">
        <v>28</v>
      </c>
      <c r="D27" t="s">
        <v>90</v>
      </c>
      <c r="E27" t="s">
        <v>91</v>
      </c>
      <c r="F27" t="s">
        <v>92</v>
      </c>
      <c r="G27" t="s">
        <v>93</v>
      </c>
      <c r="H27">
        <v>99999</v>
      </c>
      <c r="I27" t="s">
        <v>30</v>
      </c>
      <c r="J27" t="s">
        <v>94</v>
      </c>
      <c r="K27" t="s">
        <v>95</v>
      </c>
      <c r="L27">
        <v>41669</v>
      </c>
      <c r="M27" t="s">
        <v>62</v>
      </c>
      <c r="N27" t="s">
        <v>96</v>
      </c>
      <c r="O27" t="s">
        <v>91</v>
      </c>
      <c r="P27" t="s">
        <v>92</v>
      </c>
      <c r="Q27" t="s">
        <v>93</v>
      </c>
      <c r="R27">
        <v>99999</v>
      </c>
      <c r="S27" t="s">
        <v>30</v>
      </c>
      <c r="T27" t="s">
        <v>48</v>
      </c>
      <c r="U27" t="s">
        <v>123</v>
      </c>
      <c r="V27" t="s">
        <v>124</v>
      </c>
      <c r="W27">
        <v>18.399999999999999</v>
      </c>
      <c r="X27">
        <v>63</v>
      </c>
      <c r="Y27">
        <v>1159.1999999999998</v>
      </c>
      <c r="Z27">
        <v>114.76079999999999</v>
      </c>
    </row>
    <row r="28" spans="1:26" x14ac:dyDescent="0.35">
      <c r="A28">
        <v>1027</v>
      </c>
      <c r="B28">
        <v>41648</v>
      </c>
      <c r="C28">
        <v>9</v>
      </c>
      <c r="D28" t="s">
        <v>125</v>
      </c>
      <c r="E28" t="s">
        <v>126</v>
      </c>
      <c r="F28" t="s">
        <v>127</v>
      </c>
      <c r="G28" t="s">
        <v>128</v>
      </c>
      <c r="H28">
        <v>99999</v>
      </c>
      <c r="I28" t="s">
        <v>30</v>
      </c>
      <c r="J28" t="s">
        <v>129</v>
      </c>
      <c r="K28" t="s">
        <v>32</v>
      </c>
      <c r="L28">
        <v>41650</v>
      </c>
      <c r="M28" t="s">
        <v>46</v>
      </c>
      <c r="N28" t="s">
        <v>130</v>
      </c>
      <c r="O28" t="s">
        <v>126</v>
      </c>
      <c r="P28" t="s">
        <v>127</v>
      </c>
      <c r="Q28" t="s">
        <v>128</v>
      </c>
      <c r="R28">
        <v>99999</v>
      </c>
      <c r="S28" t="s">
        <v>30</v>
      </c>
      <c r="T28" t="s">
        <v>35</v>
      </c>
      <c r="U28" t="s">
        <v>131</v>
      </c>
      <c r="V28" t="s">
        <v>132</v>
      </c>
      <c r="W28">
        <v>19.5</v>
      </c>
      <c r="X28">
        <v>57</v>
      </c>
      <c r="Y28">
        <v>1111.5</v>
      </c>
      <c r="Z28">
        <v>110.0385</v>
      </c>
    </row>
    <row r="29" spans="1:26" x14ac:dyDescent="0.35">
      <c r="A29">
        <v>1028</v>
      </c>
      <c r="B29">
        <v>41648</v>
      </c>
      <c r="C29">
        <v>9</v>
      </c>
      <c r="D29" t="s">
        <v>125</v>
      </c>
      <c r="E29" t="s">
        <v>126</v>
      </c>
      <c r="F29" t="s">
        <v>127</v>
      </c>
      <c r="G29" t="s">
        <v>128</v>
      </c>
      <c r="H29">
        <v>99999</v>
      </c>
      <c r="I29" t="s">
        <v>30</v>
      </c>
      <c r="J29" t="s">
        <v>129</v>
      </c>
      <c r="K29" t="s">
        <v>32</v>
      </c>
      <c r="L29">
        <v>41650</v>
      </c>
      <c r="M29" t="s">
        <v>46</v>
      </c>
      <c r="N29" t="s">
        <v>130</v>
      </c>
      <c r="O29" t="s">
        <v>126</v>
      </c>
      <c r="P29" t="s">
        <v>127</v>
      </c>
      <c r="Q29" t="s">
        <v>128</v>
      </c>
      <c r="R29">
        <v>99999</v>
      </c>
      <c r="S29" t="s">
        <v>30</v>
      </c>
      <c r="T29" t="s">
        <v>35</v>
      </c>
      <c r="U29" t="s">
        <v>133</v>
      </c>
      <c r="V29" t="s">
        <v>134</v>
      </c>
      <c r="W29">
        <v>34.799999999999997</v>
      </c>
      <c r="X29">
        <v>81</v>
      </c>
      <c r="Y29">
        <v>2818.7999999999997</v>
      </c>
      <c r="Z29">
        <v>295.97399999999999</v>
      </c>
    </row>
    <row r="30" spans="1:26" x14ac:dyDescent="0.35">
      <c r="A30">
        <v>1029</v>
      </c>
      <c r="B30">
        <v>41645</v>
      </c>
      <c r="C30">
        <v>6</v>
      </c>
      <c r="D30" t="s">
        <v>82</v>
      </c>
      <c r="E30" t="s">
        <v>83</v>
      </c>
      <c r="F30" t="s">
        <v>84</v>
      </c>
      <c r="G30" t="s">
        <v>85</v>
      </c>
      <c r="H30">
        <v>99999</v>
      </c>
      <c r="I30" t="s">
        <v>30</v>
      </c>
      <c r="J30" t="s">
        <v>86</v>
      </c>
      <c r="K30" t="s">
        <v>61</v>
      </c>
      <c r="L30">
        <v>41647</v>
      </c>
      <c r="M30" t="s">
        <v>33</v>
      </c>
      <c r="N30" t="s">
        <v>87</v>
      </c>
      <c r="O30" t="s">
        <v>83</v>
      </c>
      <c r="P30" t="s">
        <v>84</v>
      </c>
      <c r="Q30" t="s">
        <v>85</v>
      </c>
      <c r="R30">
        <v>99999</v>
      </c>
      <c r="S30" t="s">
        <v>30</v>
      </c>
      <c r="T30" t="s">
        <v>48</v>
      </c>
      <c r="U30" t="s">
        <v>36</v>
      </c>
      <c r="V30" t="s">
        <v>37</v>
      </c>
      <c r="W30">
        <v>14</v>
      </c>
      <c r="X30">
        <v>71</v>
      </c>
      <c r="Y30">
        <v>994</v>
      </c>
      <c r="Z30">
        <v>95.424000000000007</v>
      </c>
    </row>
    <row r="31" spans="1:26" x14ac:dyDescent="0.35">
      <c r="A31">
        <v>1030</v>
      </c>
      <c r="B31">
        <v>41678</v>
      </c>
      <c r="C31">
        <v>8</v>
      </c>
      <c r="D31" t="s">
        <v>56</v>
      </c>
      <c r="E31" t="s">
        <v>57</v>
      </c>
      <c r="F31" t="s">
        <v>58</v>
      </c>
      <c r="G31" t="s">
        <v>59</v>
      </c>
      <c r="H31">
        <v>99999</v>
      </c>
      <c r="I31" t="s">
        <v>30</v>
      </c>
      <c r="J31" t="s">
        <v>60</v>
      </c>
      <c r="K31" t="s">
        <v>61</v>
      </c>
      <c r="L31">
        <v>41680</v>
      </c>
      <c r="M31" t="s">
        <v>33</v>
      </c>
      <c r="N31" t="s">
        <v>63</v>
      </c>
      <c r="O31" t="s">
        <v>57</v>
      </c>
      <c r="P31" t="s">
        <v>58</v>
      </c>
      <c r="Q31" t="s">
        <v>59</v>
      </c>
      <c r="R31">
        <v>99999</v>
      </c>
      <c r="S31" t="s">
        <v>30</v>
      </c>
      <c r="T31" t="s">
        <v>35</v>
      </c>
      <c r="U31" t="s">
        <v>88</v>
      </c>
      <c r="V31" t="s">
        <v>89</v>
      </c>
      <c r="W31">
        <v>40</v>
      </c>
      <c r="X31">
        <v>32</v>
      </c>
      <c r="Y31">
        <v>1280</v>
      </c>
      <c r="Z31">
        <v>129.28</v>
      </c>
    </row>
    <row r="32" spans="1:26" x14ac:dyDescent="0.35">
      <c r="A32">
        <v>1031</v>
      </c>
      <c r="B32">
        <v>41673</v>
      </c>
      <c r="C32">
        <v>3</v>
      </c>
      <c r="D32" t="s">
        <v>74</v>
      </c>
      <c r="E32" t="s">
        <v>75</v>
      </c>
      <c r="F32" t="s">
        <v>76</v>
      </c>
      <c r="G32" t="s">
        <v>77</v>
      </c>
      <c r="H32">
        <v>99999</v>
      </c>
      <c r="I32" t="s">
        <v>30</v>
      </c>
      <c r="J32" t="s">
        <v>31</v>
      </c>
      <c r="K32" t="s">
        <v>32</v>
      </c>
      <c r="L32">
        <v>41675</v>
      </c>
      <c r="M32" t="s">
        <v>33</v>
      </c>
      <c r="N32" t="s">
        <v>78</v>
      </c>
      <c r="O32" t="s">
        <v>75</v>
      </c>
      <c r="P32" t="s">
        <v>76</v>
      </c>
      <c r="Q32" t="s">
        <v>77</v>
      </c>
      <c r="R32">
        <v>99999</v>
      </c>
      <c r="S32" t="s">
        <v>30</v>
      </c>
      <c r="T32" t="s">
        <v>79</v>
      </c>
      <c r="U32" t="s">
        <v>135</v>
      </c>
      <c r="V32" t="s">
        <v>112</v>
      </c>
      <c r="W32">
        <v>10</v>
      </c>
      <c r="X32">
        <v>63</v>
      </c>
      <c r="Y32">
        <v>630</v>
      </c>
      <c r="Z32">
        <v>65.52</v>
      </c>
    </row>
    <row r="33" spans="1:26" x14ac:dyDescent="0.35">
      <c r="A33">
        <v>1032</v>
      </c>
      <c r="B33">
        <v>41673</v>
      </c>
      <c r="C33">
        <v>3</v>
      </c>
      <c r="D33" t="s">
        <v>74</v>
      </c>
      <c r="E33" t="s">
        <v>75</v>
      </c>
      <c r="F33" t="s">
        <v>76</v>
      </c>
      <c r="G33" t="s">
        <v>77</v>
      </c>
      <c r="H33">
        <v>99999</v>
      </c>
      <c r="I33" t="s">
        <v>30</v>
      </c>
      <c r="J33" t="s">
        <v>31</v>
      </c>
      <c r="K33" t="s">
        <v>32</v>
      </c>
      <c r="L33">
        <v>41675</v>
      </c>
      <c r="M33" t="s">
        <v>33</v>
      </c>
      <c r="N33" t="s">
        <v>78</v>
      </c>
      <c r="O33" t="s">
        <v>75</v>
      </c>
      <c r="P33" t="s">
        <v>76</v>
      </c>
      <c r="Q33" t="s">
        <v>77</v>
      </c>
      <c r="R33">
        <v>99999</v>
      </c>
      <c r="S33" t="s">
        <v>30</v>
      </c>
      <c r="T33" t="s">
        <v>79</v>
      </c>
      <c r="U33" t="s">
        <v>88</v>
      </c>
      <c r="V33" t="s">
        <v>89</v>
      </c>
      <c r="W33">
        <v>40</v>
      </c>
      <c r="X33">
        <v>30</v>
      </c>
      <c r="Y33">
        <v>1200</v>
      </c>
      <c r="Z33">
        <v>120</v>
      </c>
    </row>
    <row r="34" spans="1:26" x14ac:dyDescent="0.35">
      <c r="A34">
        <v>1033</v>
      </c>
      <c r="B34">
        <v>41676</v>
      </c>
      <c r="C34">
        <v>6</v>
      </c>
      <c r="D34" t="s">
        <v>82</v>
      </c>
      <c r="E34" t="s">
        <v>83</v>
      </c>
      <c r="F34" t="s">
        <v>84</v>
      </c>
      <c r="G34" t="s">
        <v>85</v>
      </c>
      <c r="H34">
        <v>99999</v>
      </c>
      <c r="I34" t="s">
        <v>30</v>
      </c>
      <c r="J34" t="s">
        <v>86</v>
      </c>
      <c r="K34" t="s">
        <v>61</v>
      </c>
      <c r="L34">
        <v>41678</v>
      </c>
      <c r="M34" t="s">
        <v>33</v>
      </c>
      <c r="N34" t="s">
        <v>87</v>
      </c>
      <c r="O34" t="s">
        <v>83</v>
      </c>
      <c r="P34" t="s">
        <v>84</v>
      </c>
      <c r="Q34" t="s">
        <v>85</v>
      </c>
      <c r="R34">
        <v>99999</v>
      </c>
      <c r="S34" t="s">
        <v>30</v>
      </c>
      <c r="T34" t="s">
        <v>48</v>
      </c>
      <c r="V34" t="s">
        <v>163</v>
      </c>
      <c r="Y34">
        <v>10</v>
      </c>
      <c r="Z34">
        <v>43</v>
      </c>
    </row>
    <row r="35" spans="1:26" x14ac:dyDescent="0.35">
      <c r="A35">
        <v>1034</v>
      </c>
      <c r="B35">
        <v>41698</v>
      </c>
      <c r="C35">
        <v>28</v>
      </c>
      <c r="D35" t="s">
        <v>90</v>
      </c>
      <c r="E35" t="s">
        <v>91</v>
      </c>
      <c r="F35" t="s">
        <v>92</v>
      </c>
      <c r="G35" t="s">
        <v>93</v>
      </c>
      <c r="H35">
        <v>99999</v>
      </c>
      <c r="I35" t="s">
        <v>30</v>
      </c>
      <c r="J35" t="s">
        <v>94</v>
      </c>
      <c r="K35" t="s">
        <v>95</v>
      </c>
      <c r="L35">
        <v>41700</v>
      </c>
      <c r="M35" t="s">
        <v>62</v>
      </c>
      <c r="N35" t="s">
        <v>96</v>
      </c>
      <c r="O35" t="s">
        <v>91</v>
      </c>
      <c r="P35" t="s">
        <v>92</v>
      </c>
      <c r="Q35" t="s">
        <v>93</v>
      </c>
      <c r="R35">
        <v>99999</v>
      </c>
      <c r="S35" t="s">
        <v>30</v>
      </c>
      <c r="T35" t="s">
        <v>35</v>
      </c>
      <c r="V35" t="s">
        <v>163</v>
      </c>
      <c r="Y35">
        <v>10</v>
      </c>
      <c r="Z35">
        <v>31</v>
      </c>
    </row>
    <row r="36" spans="1:26" x14ac:dyDescent="0.35">
      <c r="A36">
        <v>1035</v>
      </c>
      <c r="B36">
        <v>41678</v>
      </c>
      <c r="C36">
        <v>8</v>
      </c>
      <c r="D36" t="s">
        <v>56</v>
      </c>
      <c r="E36" t="s">
        <v>57</v>
      </c>
      <c r="F36" t="s">
        <v>58</v>
      </c>
      <c r="G36" t="s">
        <v>59</v>
      </c>
      <c r="H36">
        <v>99999</v>
      </c>
      <c r="I36" t="s">
        <v>30</v>
      </c>
      <c r="J36" t="s">
        <v>60</v>
      </c>
      <c r="K36" t="s">
        <v>61</v>
      </c>
      <c r="L36">
        <v>41680</v>
      </c>
      <c r="M36" t="s">
        <v>62</v>
      </c>
      <c r="N36" t="s">
        <v>63</v>
      </c>
      <c r="O36" t="s">
        <v>57</v>
      </c>
      <c r="P36" t="s">
        <v>58</v>
      </c>
      <c r="Q36" t="s">
        <v>59</v>
      </c>
      <c r="R36">
        <v>99999</v>
      </c>
      <c r="S36" t="s">
        <v>30</v>
      </c>
      <c r="T36" t="s">
        <v>35</v>
      </c>
      <c r="V36" t="s">
        <v>163</v>
      </c>
      <c r="Y36">
        <v>10</v>
      </c>
      <c r="Z36">
        <v>46</v>
      </c>
    </row>
    <row r="37" spans="1:26" x14ac:dyDescent="0.35">
      <c r="A37">
        <v>1036</v>
      </c>
      <c r="B37">
        <v>41680</v>
      </c>
      <c r="C37">
        <v>10</v>
      </c>
      <c r="D37" t="s">
        <v>97</v>
      </c>
      <c r="E37" t="s">
        <v>98</v>
      </c>
      <c r="F37" t="s">
        <v>99</v>
      </c>
      <c r="G37" t="s">
        <v>100</v>
      </c>
      <c r="H37">
        <v>99999</v>
      </c>
      <c r="I37" t="s">
        <v>30</v>
      </c>
      <c r="J37" t="s">
        <v>101</v>
      </c>
      <c r="K37" t="s">
        <v>45</v>
      </c>
      <c r="L37">
        <v>41682</v>
      </c>
      <c r="M37" t="s">
        <v>33</v>
      </c>
      <c r="N37" t="s">
        <v>102</v>
      </c>
      <c r="O37" t="s">
        <v>98</v>
      </c>
      <c r="P37" t="s">
        <v>99</v>
      </c>
      <c r="Q37" t="s">
        <v>100</v>
      </c>
      <c r="R37">
        <v>99999</v>
      </c>
      <c r="S37" t="s">
        <v>30</v>
      </c>
      <c r="T37" t="s">
        <v>48</v>
      </c>
      <c r="U37" t="s">
        <v>136</v>
      </c>
      <c r="V37" t="s">
        <v>39</v>
      </c>
      <c r="W37">
        <v>10</v>
      </c>
      <c r="X37">
        <v>47</v>
      </c>
      <c r="Y37">
        <v>470</v>
      </c>
      <c r="Z37">
        <v>48.88</v>
      </c>
    </row>
    <row r="38" spans="1:26" x14ac:dyDescent="0.35">
      <c r="A38">
        <v>1038</v>
      </c>
      <c r="B38">
        <v>41680</v>
      </c>
      <c r="C38">
        <v>10</v>
      </c>
      <c r="D38" t="s">
        <v>97</v>
      </c>
      <c r="E38" t="s">
        <v>98</v>
      </c>
      <c r="F38" t="s">
        <v>99</v>
      </c>
      <c r="G38" t="s">
        <v>100</v>
      </c>
      <c r="H38">
        <v>99999</v>
      </c>
      <c r="I38" t="s">
        <v>30</v>
      </c>
      <c r="J38" t="s">
        <v>101</v>
      </c>
      <c r="K38" t="s">
        <v>45</v>
      </c>
      <c r="M38" t="s">
        <v>46</v>
      </c>
      <c r="N38" t="s">
        <v>102</v>
      </c>
      <c r="O38" t="s">
        <v>98</v>
      </c>
      <c r="P38" t="s">
        <v>99</v>
      </c>
      <c r="Q38" t="s">
        <v>100</v>
      </c>
      <c r="R38">
        <v>99999</v>
      </c>
      <c r="S38" t="s">
        <v>30</v>
      </c>
      <c r="U38" t="s">
        <v>38</v>
      </c>
      <c r="V38" t="s">
        <v>39</v>
      </c>
      <c r="W38">
        <v>3.5</v>
      </c>
      <c r="X38">
        <v>49</v>
      </c>
      <c r="Y38">
        <v>171.5</v>
      </c>
      <c r="Z38">
        <v>16.464000000000002</v>
      </c>
    </row>
    <row r="39" spans="1:26" x14ac:dyDescent="0.35">
      <c r="A39">
        <v>1039</v>
      </c>
      <c r="B39">
        <v>41681</v>
      </c>
      <c r="C39">
        <v>11</v>
      </c>
      <c r="D39" t="s">
        <v>113</v>
      </c>
      <c r="E39" t="s">
        <v>114</v>
      </c>
      <c r="F39" t="s">
        <v>115</v>
      </c>
      <c r="G39" t="s">
        <v>116</v>
      </c>
      <c r="H39">
        <v>99999</v>
      </c>
      <c r="I39" t="s">
        <v>30</v>
      </c>
      <c r="J39" t="s">
        <v>94</v>
      </c>
      <c r="K39" t="s">
        <v>95</v>
      </c>
      <c r="M39" t="s">
        <v>62</v>
      </c>
      <c r="N39" t="s">
        <v>117</v>
      </c>
      <c r="O39" t="s">
        <v>114</v>
      </c>
      <c r="P39" t="s">
        <v>115</v>
      </c>
      <c r="Q39" t="s">
        <v>116</v>
      </c>
      <c r="R39">
        <v>99999</v>
      </c>
      <c r="S39" t="s">
        <v>30</v>
      </c>
      <c r="U39" t="s">
        <v>88</v>
      </c>
      <c r="V39" t="s">
        <v>89</v>
      </c>
      <c r="W39">
        <v>40</v>
      </c>
      <c r="X39">
        <v>72</v>
      </c>
      <c r="Y39">
        <v>2880</v>
      </c>
      <c r="Z39">
        <v>285.12</v>
      </c>
    </row>
    <row r="40" spans="1:26" x14ac:dyDescent="0.35">
      <c r="A40">
        <v>1040</v>
      </c>
      <c r="B40">
        <v>41671</v>
      </c>
      <c r="C40">
        <v>1</v>
      </c>
      <c r="D40" t="s">
        <v>118</v>
      </c>
      <c r="E40" t="s">
        <v>119</v>
      </c>
      <c r="F40" t="s">
        <v>120</v>
      </c>
      <c r="G40" t="s">
        <v>121</v>
      </c>
      <c r="H40">
        <v>99999</v>
      </c>
      <c r="I40" t="s">
        <v>30</v>
      </c>
      <c r="J40" t="s">
        <v>60</v>
      </c>
      <c r="K40" t="s">
        <v>61</v>
      </c>
      <c r="M40" t="s">
        <v>62</v>
      </c>
      <c r="N40" t="s">
        <v>122</v>
      </c>
      <c r="O40" t="s">
        <v>119</v>
      </c>
      <c r="P40" t="s">
        <v>120</v>
      </c>
      <c r="Q40" t="s">
        <v>121</v>
      </c>
      <c r="R40">
        <v>99999</v>
      </c>
      <c r="S40" t="s">
        <v>30</v>
      </c>
      <c r="U40" t="s">
        <v>123</v>
      </c>
      <c r="V40" t="s">
        <v>124</v>
      </c>
      <c r="W40">
        <v>18.399999999999999</v>
      </c>
      <c r="X40">
        <v>13</v>
      </c>
      <c r="Y40">
        <v>239.2</v>
      </c>
      <c r="Z40">
        <v>23.680800000000001</v>
      </c>
    </row>
    <row r="41" spans="1:26" x14ac:dyDescent="0.35">
      <c r="A41">
        <v>1041</v>
      </c>
      <c r="B41">
        <v>41698</v>
      </c>
      <c r="C41">
        <v>28</v>
      </c>
      <c r="D41" t="s">
        <v>90</v>
      </c>
      <c r="E41" t="s">
        <v>91</v>
      </c>
      <c r="F41" t="s">
        <v>92</v>
      </c>
      <c r="G41" t="s">
        <v>93</v>
      </c>
      <c r="H41">
        <v>99999</v>
      </c>
      <c r="I41" t="s">
        <v>30</v>
      </c>
      <c r="J41" t="s">
        <v>94</v>
      </c>
      <c r="K41" t="s">
        <v>95</v>
      </c>
      <c r="L41">
        <v>41700</v>
      </c>
      <c r="M41" t="s">
        <v>62</v>
      </c>
      <c r="N41" t="s">
        <v>96</v>
      </c>
      <c r="O41" t="s">
        <v>91</v>
      </c>
      <c r="P41" t="s">
        <v>92</v>
      </c>
      <c r="Q41" t="s">
        <v>93</v>
      </c>
      <c r="R41">
        <v>99999</v>
      </c>
      <c r="S41" t="s">
        <v>30</v>
      </c>
      <c r="T41" t="s">
        <v>48</v>
      </c>
      <c r="U41" t="s">
        <v>55</v>
      </c>
      <c r="V41" t="s">
        <v>37</v>
      </c>
      <c r="W41">
        <v>46</v>
      </c>
      <c r="X41">
        <v>32</v>
      </c>
      <c r="Y41">
        <v>1472</v>
      </c>
      <c r="Z41">
        <v>148.67200000000003</v>
      </c>
    </row>
    <row r="42" spans="1:26" x14ac:dyDescent="0.35">
      <c r="A42">
        <v>1042</v>
      </c>
      <c r="B42">
        <v>41679</v>
      </c>
      <c r="C42">
        <v>9</v>
      </c>
      <c r="D42" t="s">
        <v>125</v>
      </c>
      <c r="E42" t="s">
        <v>126</v>
      </c>
      <c r="F42" t="s">
        <v>127</v>
      </c>
      <c r="G42" t="s">
        <v>128</v>
      </c>
      <c r="H42">
        <v>99999</v>
      </c>
      <c r="I42" t="s">
        <v>30</v>
      </c>
      <c r="J42" t="s">
        <v>129</v>
      </c>
      <c r="K42" t="s">
        <v>32</v>
      </c>
      <c r="L42">
        <v>41681</v>
      </c>
      <c r="M42" t="s">
        <v>46</v>
      </c>
      <c r="N42" t="s">
        <v>130</v>
      </c>
      <c r="O42" t="s">
        <v>126</v>
      </c>
      <c r="P42" t="s">
        <v>127</v>
      </c>
      <c r="Q42" t="s">
        <v>128</v>
      </c>
      <c r="R42">
        <v>99999</v>
      </c>
      <c r="S42" t="s">
        <v>30</v>
      </c>
      <c r="T42" t="s">
        <v>35</v>
      </c>
      <c r="U42" t="s">
        <v>80</v>
      </c>
      <c r="V42" t="s">
        <v>81</v>
      </c>
      <c r="W42">
        <v>9.65</v>
      </c>
      <c r="X42">
        <v>27</v>
      </c>
      <c r="Y42">
        <v>260.55</v>
      </c>
      <c r="Z42">
        <v>24.752250000000004</v>
      </c>
    </row>
    <row r="43" spans="1:26" x14ac:dyDescent="0.35">
      <c r="A43">
        <v>1043</v>
      </c>
      <c r="B43">
        <v>41676</v>
      </c>
      <c r="C43">
        <v>6</v>
      </c>
      <c r="D43" t="s">
        <v>82</v>
      </c>
      <c r="E43" t="s">
        <v>83</v>
      </c>
      <c r="F43" t="s">
        <v>84</v>
      </c>
      <c r="G43" t="s">
        <v>85</v>
      </c>
      <c r="H43">
        <v>99999</v>
      </c>
      <c r="I43" t="s">
        <v>30</v>
      </c>
      <c r="J43" t="s">
        <v>86</v>
      </c>
      <c r="K43" t="s">
        <v>61</v>
      </c>
      <c r="L43">
        <v>41678</v>
      </c>
      <c r="M43" t="s">
        <v>33</v>
      </c>
      <c r="N43" t="s">
        <v>87</v>
      </c>
      <c r="O43" t="s">
        <v>83</v>
      </c>
      <c r="P43" t="s">
        <v>84</v>
      </c>
      <c r="Q43" t="s">
        <v>85</v>
      </c>
      <c r="R43">
        <v>99999</v>
      </c>
      <c r="S43" t="s">
        <v>30</v>
      </c>
      <c r="T43" t="s">
        <v>48</v>
      </c>
      <c r="U43" t="s">
        <v>72</v>
      </c>
      <c r="V43" t="s">
        <v>73</v>
      </c>
      <c r="W43">
        <v>12.75</v>
      </c>
      <c r="X43">
        <v>71</v>
      </c>
      <c r="Y43">
        <v>905.25</v>
      </c>
      <c r="Z43">
        <v>91.430250000000001</v>
      </c>
    </row>
    <row r="44" spans="1:26" x14ac:dyDescent="0.35">
      <c r="A44">
        <v>1044</v>
      </c>
      <c r="B44">
        <v>41678</v>
      </c>
      <c r="C44">
        <v>8</v>
      </c>
      <c r="D44" t="s">
        <v>56</v>
      </c>
      <c r="E44" t="s">
        <v>57</v>
      </c>
      <c r="F44" t="s">
        <v>58</v>
      </c>
      <c r="G44" t="s">
        <v>59</v>
      </c>
      <c r="H44">
        <v>99999</v>
      </c>
      <c r="I44" t="s">
        <v>30</v>
      </c>
      <c r="J44" t="s">
        <v>60</v>
      </c>
      <c r="K44" t="s">
        <v>61</v>
      </c>
      <c r="L44">
        <v>41680</v>
      </c>
      <c r="M44" t="s">
        <v>33</v>
      </c>
      <c r="N44" t="s">
        <v>63</v>
      </c>
      <c r="O44" t="s">
        <v>57</v>
      </c>
      <c r="P44" t="s">
        <v>58</v>
      </c>
      <c r="Q44" t="s">
        <v>59</v>
      </c>
      <c r="R44">
        <v>99999</v>
      </c>
      <c r="S44" t="s">
        <v>30</v>
      </c>
      <c r="T44" t="s">
        <v>35</v>
      </c>
      <c r="U44" t="s">
        <v>72</v>
      </c>
      <c r="V44" t="s">
        <v>73</v>
      </c>
      <c r="W44">
        <v>12.75</v>
      </c>
      <c r="X44">
        <v>13</v>
      </c>
      <c r="Y44">
        <v>165.75</v>
      </c>
      <c r="Z44">
        <v>15.746249999999998</v>
      </c>
    </row>
    <row r="45" spans="1:26" x14ac:dyDescent="0.35">
      <c r="A45">
        <v>1045</v>
      </c>
      <c r="B45">
        <v>41695</v>
      </c>
      <c r="C45">
        <v>25</v>
      </c>
      <c r="D45" t="s">
        <v>137</v>
      </c>
      <c r="E45" t="s">
        <v>138</v>
      </c>
      <c r="F45" t="s">
        <v>99</v>
      </c>
      <c r="G45" t="s">
        <v>100</v>
      </c>
      <c r="H45">
        <v>99999</v>
      </c>
      <c r="I45" t="s">
        <v>30</v>
      </c>
      <c r="J45" t="s">
        <v>101</v>
      </c>
      <c r="K45" t="s">
        <v>45</v>
      </c>
      <c r="L45">
        <v>41697</v>
      </c>
      <c r="M45" t="s">
        <v>46</v>
      </c>
      <c r="N45" t="s">
        <v>139</v>
      </c>
      <c r="O45" t="s">
        <v>138</v>
      </c>
      <c r="P45" t="s">
        <v>99</v>
      </c>
      <c r="Q45" t="s">
        <v>100</v>
      </c>
      <c r="R45">
        <v>99999</v>
      </c>
      <c r="S45" t="s">
        <v>30</v>
      </c>
      <c r="T45" t="s">
        <v>79</v>
      </c>
      <c r="U45" t="s">
        <v>111</v>
      </c>
      <c r="V45" t="s">
        <v>112</v>
      </c>
      <c r="W45">
        <v>22</v>
      </c>
      <c r="X45">
        <v>98</v>
      </c>
      <c r="Y45">
        <v>2156</v>
      </c>
      <c r="Z45">
        <v>204.82000000000002</v>
      </c>
    </row>
    <row r="46" spans="1:26" x14ac:dyDescent="0.35">
      <c r="A46">
        <v>1046</v>
      </c>
      <c r="B46">
        <v>41696</v>
      </c>
      <c r="C46">
        <v>26</v>
      </c>
      <c r="D46" t="s">
        <v>140</v>
      </c>
      <c r="E46" t="s">
        <v>141</v>
      </c>
      <c r="F46" t="s">
        <v>115</v>
      </c>
      <c r="G46" t="s">
        <v>116</v>
      </c>
      <c r="H46">
        <v>99999</v>
      </c>
      <c r="I46" t="s">
        <v>30</v>
      </c>
      <c r="J46" t="s">
        <v>94</v>
      </c>
      <c r="K46" t="s">
        <v>95</v>
      </c>
      <c r="L46">
        <v>41698</v>
      </c>
      <c r="M46" t="s">
        <v>62</v>
      </c>
      <c r="N46" t="s">
        <v>142</v>
      </c>
      <c r="O46" t="s">
        <v>141</v>
      </c>
      <c r="P46" t="s">
        <v>115</v>
      </c>
      <c r="Q46" t="s">
        <v>116</v>
      </c>
      <c r="R46">
        <v>99999</v>
      </c>
      <c r="S46" t="s">
        <v>30</v>
      </c>
      <c r="T46" t="s">
        <v>48</v>
      </c>
      <c r="U46" t="s">
        <v>109</v>
      </c>
      <c r="V46" t="s">
        <v>110</v>
      </c>
      <c r="W46">
        <v>25</v>
      </c>
      <c r="X46">
        <v>21</v>
      </c>
      <c r="Y46">
        <v>525</v>
      </c>
      <c r="Z46">
        <v>53.550000000000004</v>
      </c>
    </row>
    <row r="47" spans="1:26" x14ac:dyDescent="0.35">
      <c r="A47">
        <v>1047</v>
      </c>
      <c r="B47">
        <v>41699</v>
      </c>
      <c r="C47">
        <v>29</v>
      </c>
      <c r="D47" t="s">
        <v>66</v>
      </c>
      <c r="E47" t="s">
        <v>67</v>
      </c>
      <c r="F47" t="s">
        <v>68</v>
      </c>
      <c r="G47" t="s">
        <v>69</v>
      </c>
      <c r="H47">
        <v>99999</v>
      </c>
      <c r="I47" t="s">
        <v>30</v>
      </c>
      <c r="J47" t="s">
        <v>70</v>
      </c>
      <c r="K47" t="s">
        <v>32</v>
      </c>
      <c r="L47">
        <v>41701</v>
      </c>
      <c r="M47" t="s">
        <v>33</v>
      </c>
      <c r="N47" t="s">
        <v>71</v>
      </c>
      <c r="O47" t="s">
        <v>67</v>
      </c>
      <c r="P47" t="s">
        <v>68</v>
      </c>
      <c r="Q47" t="s">
        <v>69</v>
      </c>
      <c r="R47">
        <v>99999</v>
      </c>
      <c r="S47" t="s">
        <v>30</v>
      </c>
      <c r="T47" t="s">
        <v>35</v>
      </c>
      <c r="U47" t="s">
        <v>143</v>
      </c>
      <c r="V47" t="s">
        <v>144</v>
      </c>
      <c r="W47">
        <v>39</v>
      </c>
      <c r="X47">
        <v>26</v>
      </c>
      <c r="Y47">
        <v>1014</v>
      </c>
      <c r="Z47">
        <v>106.47000000000001</v>
      </c>
    </row>
    <row r="48" spans="1:26" x14ac:dyDescent="0.35">
      <c r="A48">
        <v>1048</v>
      </c>
      <c r="B48">
        <v>41676</v>
      </c>
      <c r="C48">
        <v>6</v>
      </c>
      <c r="D48" t="s">
        <v>82</v>
      </c>
      <c r="E48" t="s">
        <v>83</v>
      </c>
      <c r="F48" t="s">
        <v>84</v>
      </c>
      <c r="G48" t="s">
        <v>85</v>
      </c>
      <c r="H48">
        <v>99999</v>
      </c>
      <c r="I48" t="s">
        <v>30</v>
      </c>
      <c r="J48" t="s">
        <v>86</v>
      </c>
      <c r="K48" t="s">
        <v>61</v>
      </c>
      <c r="L48">
        <v>41678</v>
      </c>
      <c r="M48" t="s">
        <v>62</v>
      </c>
      <c r="N48" t="s">
        <v>87</v>
      </c>
      <c r="O48" t="s">
        <v>83</v>
      </c>
      <c r="P48" t="s">
        <v>84</v>
      </c>
      <c r="Q48" t="s">
        <v>85</v>
      </c>
      <c r="R48">
        <v>99999</v>
      </c>
      <c r="S48" t="s">
        <v>30</v>
      </c>
      <c r="T48" t="s">
        <v>35</v>
      </c>
      <c r="U48" t="s">
        <v>49</v>
      </c>
      <c r="V48" t="s">
        <v>39</v>
      </c>
      <c r="W48">
        <v>30</v>
      </c>
      <c r="X48">
        <v>96</v>
      </c>
      <c r="Y48">
        <v>2880</v>
      </c>
      <c r="Z48">
        <v>296.64</v>
      </c>
    </row>
    <row r="49" spans="1:26" x14ac:dyDescent="0.35">
      <c r="A49">
        <v>1049</v>
      </c>
      <c r="B49">
        <v>41676</v>
      </c>
      <c r="C49">
        <v>6</v>
      </c>
      <c r="D49" t="s">
        <v>82</v>
      </c>
      <c r="E49" t="s">
        <v>83</v>
      </c>
      <c r="F49" t="s">
        <v>84</v>
      </c>
      <c r="G49" t="s">
        <v>85</v>
      </c>
      <c r="H49">
        <v>99999</v>
      </c>
      <c r="I49" t="s">
        <v>30</v>
      </c>
      <c r="J49" t="s">
        <v>86</v>
      </c>
      <c r="K49" t="s">
        <v>61</v>
      </c>
      <c r="L49">
        <v>41678</v>
      </c>
      <c r="M49" t="s">
        <v>62</v>
      </c>
      <c r="N49" t="s">
        <v>87</v>
      </c>
      <c r="O49" t="s">
        <v>83</v>
      </c>
      <c r="P49" t="s">
        <v>84</v>
      </c>
      <c r="Q49" t="s">
        <v>85</v>
      </c>
      <c r="R49">
        <v>99999</v>
      </c>
      <c r="S49" t="s">
        <v>30</v>
      </c>
      <c r="T49" t="s">
        <v>35</v>
      </c>
      <c r="U49" t="s">
        <v>50</v>
      </c>
      <c r="V49" t="s">
        <v>39</v>
      </c>
      <c r="W49">
        <v>53</v>
      </c>
      <c r="X49">
        <v>16</v>
      </c>
      <c r="Y49">
        <v>848</v>
      </c>
      <c r="Z49">
        <v>88.192000000000021</v>
      </c>
    </row>
    <row r="50" spans="1:26" x14ac:dyDescent="0.35">
      <c r="A50">
        <v>1050</v>
      </c>
      <c r="B50">
        <v>41674</v>
      </c>
      <c r="C50">
        <v>4</v>
      </c>
      <c r="D50" t="s">
        <v>40</v>
      </c>
      <c r="E50" t="s">
        <v>41</v>
      </c>
      <c r="F50" t="s">
        <v>42</v>
      </c>
      <c r="G50" t="s">
        <v>43</v>
      </c>
      <c r="H50">
        <v>99999</v>
      </c>
      <c r="I50" t="s">
        <v>30</v>
      </c>
      <c r="J50" t="s">
        <v>44</v>
      </c>
      <c r="K50" t="s">
        <v>45</v>
      </c>
      <c r="N50" t="s">
        <v>47</v>
      </c>
      <c r="O50" t="s">
        <v>41</v>
      </c>
      <c r="P50" t="s">
        <v>42</v>
      </c>
      <c r="Q50" t="s">
        <v>43</v>
      </c>
      <c r="R50">
        <v>99999</v>
      </c>
      <c r="S50" t="s">
        <v>30</v>
      </c>
      <c r="U50" t="s">
        <v>145</v>
      </c>
      <c r="V50" t="s">
        <v>132</v>
      </c>
      <c r="W50">
        <v>38</v>
      </c>
      <c r="X50">
        <v>96</v>
      </c>
      <c r="Y50">
        <v>3648</v>
      </c>
      <c r="Z50">
        <v>346.56</v>
      </c>
    </row>
    <row r="51" spans="1:26" x14ac:dyDescent="0.35">
      <c r="A51">
        <v>1051</v>
      </c>
      <c r="B51">
        <v>41673</v>
      </c>
      <c r="C51">
        <v>3</v>
      </c>
      <c r="D51" t="s">
        <v>74</v>
      </c>
      <c r="E51" t="s">
        <v>75</v>
      </c>
      <c r="F51" t="s">
        <v>76</v>
      </c>
      <c r="G51" t="s">
        <v>77</v>
      </c>
      <c r="H51">
        <v>99999</v>
      </c>
      <c r="I51" t="s">
        <v>30</v>
      </c>
      <c r="J51" t="s">
        <v>31</v>
      </c>
      <c r="K51" t="s">
        <v>32</v>
      </c>
      <c r="N51" t="s">
        <v>78</v>
      </c>
      <c r="O51" t="s">
        <v>75</v>
      </c>
      <c r="P51" t="s">
        <v>76</v>
      </c>
      <c r="Q51" t="s">
        <v>77</v>
      </c>
      <c r="R51">
        <v>99999</v>
      </c>
      <c r="S51" t="s">
        <v>30</v>
      </c>
      <c r="U51" t="s">
        <v>103</v>
      </c>
      <c r="V51" t="s">
        <v>37</v>
      </c>
      <c r="W51">
        <v>2.99</v>
      </c>
      <c r="X51">
        <v>75</v>
      </c>
      <c r="Y51">
        <v>224.25000000000003</v>
      </c>
      <c r="Z51">
        <v>23.097750000000005</v>
      </c>
    </row>
    <row r="52" spans="1:26" x14ac:dyDescent="0.35">
      <c r="A52">
        <v>1052</v>
      </c>
      <c r="B52">
        <v>41707</v>
      </c>
      <c r="C52">
        <v>9</v>
      </c>
      <c r="D52" t="s">
        <v>125</v>
      </c>
      <c r="E52" t="s">
        <v>126</v>
      </c>
      <c r="F52" t="s">
        <v>127</v>
      </c>
      <c r="G52" t="s">
        <v>128</v>
      </c>
      <c r="H52">
        <v>99999</v>
      </c>
      <c r="I52" t="s">
        <v>30</v>
      </c>
      <c r="J52" t="s">
        <v>129</v>
      </c>
      <c r="K52" t="s">
        <v>32</v>
      </c>
      <c r="L52">
        <v>41709</v>
      </c>
      <c r="M52" t="s">
        <v>46</v>
      </c>
      <c r="N52" t="s">
        <v>130</v>
      </c>
      <c r="O52" t="s">
        <v>126</v>
      </c>
      <c r="P52" t="s">
        <v>127</v>
      </c>
      <c r="Q52" t="s">
        <v>128</v>
      </c>
      <c r="R52">
        <v>99999</v>
      </c>
      <c r="S52" t="s">
        <v>30</v>
      </c>
      <c r="T52" t="s">
        <v>35</v>
      </c>
      <c r="U52" t="s">
        <v>131</v>
      </c>
      <c r="V52" t="s">
        <v>132</v>
      </c>
      <c r="W52">
        <v>19.5</v>
      </c>
      <c r="X52">
        <v>55</v>
      </c>
      <c r="Y52">
        <v>1072.5</v>
      </c>
      <c r="Z52">
        <v>108.32250000000001</v>
      </c>
    </row>
    <row r="53" spans="1:26" x14ac:dyDescent="0.35">
      <c r="A53">
        <v>1053</v>
      </c>
      <c r="B53">
        <v>41707</v>
      </c>
      <c r="C53">
        <v>9</v>
      </c>
      <c r="D53" t="s">
        <v>125</v>
      </c>
      <c r="E53" t="s">
        <v>126</v>
      </c>
      <c r="F53" t="s">
        <v>127</v>
      </c>
      <c r="G53" t="s">
        <v>128</v>
      </c>
      <c r="H53">
        <v>99999</v>
      </c>
      <c r="I53" t="s">
        <v>30</v>
      </c>
      <c r="J53" t="s">
        <v>129</v>
      </c>
      <c r="K53" t="s">
        <v>32</v>
      </c>
      <c r="L53">
        <v>41709</v>
      </c>
      <c r="M53" t="s">
        <v>46</v>
      </c>
      <c r="N53" t="s">
        <v>130</v>
      </c>
      <c r="O53" t="s">
        <v>126</v>
      </c>
      <c r="P53" t="s">
        <v>127</v>
      </c>
      <c r="Q53" t="s">
        <v>128</v>
      </c>
      <c r="R53">
        <v>99999</v>
      </c>
      <c r="S53" t="s">
        <v>30</v>
      </c>
      <c r="T53" t="s">
        <v>35</v>
      </c>
      <c r="U53" t="s">
        <v>133</v>
      </c>
      <c r="V53" t="s">
        <v>134</v>
      </c>
      <c r="W53">
        <v>34.799999999999997</v>
      </c>
      <c r="X53">
        <v>11</v>
      </c>
      <c r="Y53">
        <v>382.79999999999995</v>
      </c>
      <c r="Z53">
        <v>36.748799999999996</v>
      </c>
    </row>
    <row r="54" spans="1:26" x14ac:dyDescent="0.35">
      <c r="A54">
        <v>1054</v>
      </c>
      <c r="B54">
        <v>41704</v>
      </c>
      <c r="C54">
        <v>6</v>
      </c>
      <c r="D54" t="s">
        <v>82</v>
      </c>
      <c r="E54" t="s">
        <v>83</v>
      </c>
      <c r="F54" t="s">
        <v>84</v>
      </c>
      <c r="G54" t="s">
        <v>85</v>
      </c>
      <c r="H54">
        <v>99999</v>
      </c>
      <c r="I54" t="s">
        <v>30</v>
      </c>
      <c r="J54" t="s">
        <v>86</v>
      </c>
      <c r="K54" t="s">
        <v>61</v>
      </c>
      <c r="L54">
        <v>41706</v>
      </c>
      <c r="M54" t="s">
        <v>33</v>
      </c>
      <c r="N54" t="s">
        <v>87</v>
      </c>
      <c r="O54" t="s">
        <v>83</v>
      </c>
      <c r="P54" t="s">
        <v>84</v>
      </c>
      <c r="Q54" t="s">
        <v>85</v>
      </c>
      <c r="R54">
        <v>99999</v>
      </c>
      <c r="S54" t="s">
        <v>30</v>
      </c>
      <c r="T54" t="s">
        <v>48</v>
      </c>
      <c r="U54" t="s">
        <v>36</v>
      </c>
      <c r="V54" t="s">
        <v>37</v>
      </c>
      <c r="W54">
        <v>14</v>
      </c>
      <c r="X54">
        <v>53</v>
      </c>
      <c r="Y54">
        <v>742</v>
      </c>
      <c r="Z54">
        <v>71.974000000000004</v>
      </c>
    </row>
    <row r="55" spans="1:26" x14ac:dyDescent="0.35">
      <c r="A55">
        <v>1055</v>
      </c>
      <c r="B55">
        <v>41706</v>
      </c>
      <c r="C55">
        <v>8</v>
      </c>
      <c r="D55" t="s">
        <v>56</v>
      </c>
      <c r="E55" t="s">
        <v>57</v>
      </c>
      <c r="F55" t="s">
        <v>58</v>
      </c>
      <c r="G55" t="s">
        <v>59</v>
      </c>
      <c r="H55">
        <v>99999</v>
      </c>
      <c r="I55" t="s">
        <v>30</v>
      </c>
      <c r="J55" t="s">
        <v>60</v>
      </c>
      <c r="K55" t="s">
        <v>61</v>
      </c>
      <c r="L55">
        <v>41708</v>
      </c>
      <c r="M55" t="s">
        <v>33</v>
      </c>
      <c r="N55" t="s">
        <v>63</v>
      </c>
      <c r="O55" t="s">
        <v>57</v>
      </c>
      <c r="P55" t="s">
        <v>58</v>
      </c>
      <c r="Q55" t="s">
        <v>59</v>
      </c>
      <c r="R55">
        <v>99999</v>
      </c>
      <c r="S55" t="s">
        <v>30</v>
      </c>
      <c r="T55" t="s">
        <v>35</v>
      </c>
      <c r="U55" t="s">
        <v>88</v>
      </c>
      <c r="V55" t="s">
        <v>89</v>
      </c>
      <c r="W55">
        <v>40</v>
      </c>
      <c r="X55">
        <v>85</v>
      </c>
      <c r="Y55">
        <v>3400</v>
      </c>
      <c r="Z55">
        <v>357</v>
      </c>
    </row>
    <row r="56" spans="1:26" x14ac:dyDescent="0.35">
      <c r="A56">
        <v>1056</v>
      </c>
      <c r="B56">
        <v>41706</v>
      </c>
      <c r="C56">
        <v>8</v>
      </c>
      <c r="D56" t="s">
        <v>56</v>
      </c>
      <c r="E56" t="s">
        <v>57</v>
      </c>
      <c r="F56" t="s">
        <v>58</v>
      </c>
      <c r="G56" t="s">
        <v>59</v>
      </c>
      <c r="H56">
        <v>99999</v>
      </c>
      <c r="I56" t="s">
        <v>30</v>
      </c>
      <c r="J56" t="s">
        <v>60</v>
      </c>
      <c r="K56" t="s">
        <v>61</v>
      </c>
      <c r="L56">
        <v>41708</v>
      </c>
      <c r="M56" t="s">
        <v>33</v>
      </c>
      <c r="N56" t="s">
        <v>63</v>
      </c>
      <c r="O56" t="s">
        <v>57</v>
      </c>
      <c r="P56" t="s">
        <v>58</v>
      </c>
      <c r="Q56" t="s">
        <v>59</v>
      </c>
      <c r="R56">
        <v>99999</v>
      </c>
      <c r="S56" t="s">
        <v>30</v>
      </c>
      <c r="T56" t="s">
        <v>35</v>
      </c>
      <c r="U56" t="s">
        <v>64</v>
      </c>
      <c r="V56" t="s">
        <v>65</v>
      </c>
      <c r="W56">
        <v>9.1999999999999993</v>
      </c>
      <c r="X56">
        <v>97</v>
      </c>
      <c r="Y56">
        <v>892.4</v>
      </c>
      <c r="Z56">
        <v>91.024800000000013</v>
      </c>
    </row>
    <row r="57" spans="1:26" x14ac:dyDescent="0.35">
      <c r="A57">
        <v>1057</v>
      </c>
      <c r="B57">
        <v>41723</v>
      </c>
      <c r="C57">
        <v>25</v>
      </c>
      <c r="D57" t="s">
        <v>137</v>
      </c>
      <c r="E57" t="s">
        <v>138</v>
      </c>
      <c r="F57" t="s">
        <v>99</v>
      </c>
      <c r="G57" t="s">
        <v>100</v>
      </c>
      <c r="H57">
        <v>99999</v>
      </c>
      <c r="I57" t="s">
        <v>30</v>
      </c>
      <c r="J57" t="s">
        <v>101</v>
      </c>
      <c r="K57" t="s">
        <v>45</v>
      </c>
      <c r="L57">
        <v>41725</v>
      </c>
      <c r="M57" t="s">
        <v>46</v>
      </c>
      <c r="N57" t="s">
        <v>139</v>
      </c>
      <c r="O57" t="s">
        <v>138</v>
      </c>
      <c r="P57" t="s">
        <v>99</v>
      </c>
      <c r="Q57" t="s">
        <v>100</v>
      </c>
      <c r="R57">
        <v>99999</v>
      </c>
      <c r="S57" t="s">
        <v>30</v>
      </c>
      <c r="T57" t="s">
        <v>79</v>
      </c>
      <c r="U57" t="s">
        <v>146</v>
      </c>
      <c r="V57" t="s">
        <v>65</v>
      </c>
      <c r="W57">
        <v>10</v>
      </c>
      <c r="X57">
        <v>46</v>
      </c>
      <c r="Y57">
        <v>460</v>
      </c>
      <c r="Z57">
        <v>46.46</v>
      </c>
    </row>
    <row r="58" spans="1:26" x14ac:dyDescent="0.35">
      <c r="A58">
        <v>1058</v>
      </c>
      <c r="B58">
        <v>41724</v>
      </c>
      <c r="C58">
        <v>26</v>
      </c>
      <c r="D58" t="s">
        <v>140</v>
      </c>
      <c r="E58" t="s">
        <v>141</v>
      </c>
      <c r="F58" t="s">
        <v>115</v>
      </c>
      <c r="G58" t="s">
        <v>116</v>
      </c>
      <c r="H58">
        <v>99999</v>
      </c>
      <c r="I58" t="s">
        <v>30</v>
      </c>
      <c r="J58" t="s">
        <v>94</v>
      </c>
      <c r="K58" t="s">
        <v>95</v>
      </c>
      <c r="L58">
        <v>41726</v>
      </c>
      <c r="M58" t="s">
        <v>62</v>
      </c>
      <c r="N58" t="s">
        <v>142</v>
      </c>
      <c r="O58" t="s">
        <v>141</v>
      </c>
      <c r="P58" t="s">
        <v>115</v>
      </c>
      <c r="Q58" t="s">
        <v>116</v>
      </c>
      <c r="R58">
        <v>99999</v>
      </c>
      <c r="S58" t="s">
        <v>30</v>
      </c>
      <c r="T58" t="s">
        <v>48</v>
      </c>
      <c r="U58" t="s">
        <v>147</v>
      </c>
      <c r="V58" t="s">
        <v>148</v>
      </c>
      <c r="W58">
        <v>21.35</v>
      </c>
      <c r="X58">
        <v>97</v>
      </c>
      <c r="Y58">
        <v>2070.9500000000003</v>
      </c>
      <c r="Z58">
        <v>196.74025</v>
      </c>
    </row>
    <row r="59" spans="1:26" x14ac:dyDescent="0.35">
      <c r="A59">
        <v>1059</v>
      </c>
      <c r="B59">
        <v>41724</v>
      </c>
      <c r="C59">
        <v>26</v>
      </c>
      <c r="D59" t="s">
        <v>140</v>
      </c>
      <c r="E59" t="s">
        <v>141</v>
      </c>
      <c r="F59" t="s">
        <v>115</v>
      </c>
      <c r="G59" t="s">
        <v>116</v>
      </c>
      <c r="H59">
        <v>99999</v>
      </c>
      <c r="I59" t="s">
        <v>30</v>
      </c>
      <c r="J59" t="s">
        <v>94</v>
      </c>
      <c r="K59" t="s">
        <v>95</v>
      </c>
      <c r="L59">
        <v>41726</v>
      </c>
      <c r="M59" t="s">
        <v>62</v>
      </c>
      <c r="N59" t="s">
        <v>142</v>
      </c>
      <c r="O59" t="s">
        <v>141</v>
      </c>
      <c r="P59" t="s">
        <v>115</v>
      </c>
      <c r="Q59" t="s">
        <v>116</v>
      </c>
      <c r="R59">
        <v>99999</v>
      </c>
      <c r="S59" t="s">
        <v>30</v>
      </c>
      <c r="T59" t="s">
        <v>48</v>
      </c>
      <c r="U59" t="s">
        <v>80</v>
      </c>
      <c r="V59" t="s">
        <v>81</v>
      </c>
      <c r="W59">
        <v>9.65</v>
      </c>
      <c r="X59">
        <v>97</v>
      </c>
      <c r="Y59">
        <v>936.05000000000007</v>
      </c>
      <c r="Z59">
        <v>95.477100000000021</v>
      </c>
    </row>
    <row r="60" spans="1:26" x14ac:dyDescent="0.35">
      <c r="A60">
        <v>1060</v>
      </c>
      <c r="B60">
        <v>41724</v>
      </c>
      <c r="C60">
        <v>26</v>
      </c>
      <c r="D60" t="s">
        <v>140</v>
      </c>
      <c r="E60" t="s">
        <v>141</v>
      </c>
      <c r="F60" t="s">
        <v>115</v>
      </c>
      <c r="G60" t="s">
        <v>116</v>
      </c>
      <c r="H60">
        <v>99999</v>
      </c>
      <c r="I60" t="s">
        <v>30</v>
      </c>
      <c r="J60" t="s">
        <v>94</v>
      </c>
      <c r="K60" t="s">
        <v>95</v>
      </c>
      <c r="L60">
        <v>41726</v>
      </c>
      <c r="M60" t="s">
        <v>62</v>
      </c>
      <c r="N60" t="s">
        <v>142</v>
      </c>
      <c r="O60" t="s">
        <v>141</v>
      </c>
      <c r="P60" t="s">
        <v>115</v>
      </c>
      <c r="Q60" t="s">
        <v>116</v>
      </c>
      <c r="R60">
        <v>99999</v>
      </c>
      <c r="S60" t="s">
        <v>30</v>
      </c>
      <c r="T60" t="s">
        <v>48</v>
      </c>
      <c r="U60" t="s">
        <v>123</v>
      </c>
      <c r="V60" t="s">
        <v>124</v>
      </c>
      <c r="W60">
        <v>18.399999999999999</v>
      </c>
      <c r="X60">
        <v>65</v>
      </c>
      <c r="Y60">
        <v>1196</v>
      </c>
      <c r="Z60">
        <v>123.18800000000002</v>
      </c>
    </row>
    <row r="61" spans="1:26" x14ac:dyDescent="0.35">
      <c r="A61">
        <v>1061</v>
      </c>
      <c r="B61">
        <v>41727</v>
      </c>
      <c r="C61">
        <v>29</v>
      </c>
      <c r="D61" t="s">
        <v>66</v>
      </c>
      <c r="E61" t="s">
        <v>67</v>
      </c>
      <c r="F61" t="s">
        <v>68</v>
      </c>
      <c r="G61" t="s">
        <v>69</v>
      </c>
      <c r="H61">
        <v>99999</v>
      </c>
      <c r="I61" t="s">
        <v>30</v>
      </c>
      <c r="J61" t="s">
        <v>70</v>
      </c>
      <c r="K61" t="s">
        <v>32</v>
      </c>
      <c r="L61">
        <v>41729</v>
      </c>
      <c r="M61" t="s">
        <v>33</v>
      </c>
      <c r="N61" t="s">
        <v>71</v>
      </c>
      <c r="O61" t="s">
        <v>67</v>
      </c>
      <c r="P61" t="s">
        <v>68</v>
      </c>
      <c r="Q61" t="s">
        <v>69</v>
      </c>
      <c r="R61">
        <v>99999</v>
      </c>
      <c r="S61" t="s">
        <v>30</v>
      </c>
      <c r="T61" t="s">
        <v>35</v>
      </c>
      <c r="U61" t="s">
        <v>36</v>
      </c>
      <c r="V61" t="s">
        <v>37</v>
      </c>
      <c r="W61">
        <v>14</v>
      </c>
      <c r="X61">
        <v>72</v>
      </c>
      <c r="Y61">
        <v>1008</v>
      </c>
      <c r="Z61">
        <v>100.80000000000001</v>
      </c>
    </row>
    <row r="62" spans="1:26" x14ac:dyDescent="0.35">
      <c r="A62">
        <v>1062</v>
      </c>
      <c r="B62">
        <v>41704</v>
      </c>
      <c r="C62">
        <v>6</v>
      </c>
      <c r="D62" t="s">
        <v>82</v>
      </c>
      <c r="E62" t="s">
        <v>83</v>
      </c>
      <c r="F62" t="s">
        <v>84</v>
      </c>
      <c r="G62" t="s">
        <v>85</v>
      </c>
      <c r="H62">
        <v>99999</v>
      </c>
      <c r="I62" t="s">
        <v>30</v>
      </c>
      <c r="J62" t="s">
        <v>86</v>
      </c>
      <c r="K62" t="s">
        <v>61</v>
      </c>
      <c r="L62">
        <v>41706</v>
      </c>
      <c r="M62" t="s">
        <v>62</v>
      </c>
      <c r="N62" t="s">
        <v>87</v>
      </c>
      <c r="O62" t="s">
        <v>83</v>
      </c>
      <c r="P62" t="s">
        <v>84</v>
      </c>
      <c r="Q62" t="s">
        <v>85</v>
      </c>
      <c r="R62">
        <v>99999</v>
      </c>
      <c r="S62" t="s">
        <v>30</v>
      </c>
      <c r="T62" t="s">
        <v>35</v>
      </c>
      <c r="U62" t="s">
        <v>72</v>
      </c>
      <c r="V62" t="s">
        <v>73</v>
      </c>
      <c r="W62">
        <v>12.75</v>
      </c>
      <c r="X62">
        <v>16</v>
      </c>
      <c r="Y62">
        <v>204</v>
      </c>
      <c r="Z62">
        <v>20.196000000000002</v>
      </c>
    </row>
    <row r="63" spans="1:26" x14ac:dyDescent="0.35">
      <c r="A63">
        <v>1064</v>
      </c>
      <c r="B63">
        <v>41702</v>
      </c>
      <c r="C63">
        <v>4</v>
      </c>
      <c r="D63" t="s">
        <v>40</v>
      </c>
      <c r="E63" t="s">
        <v>41</v>
      </c>
      <c r="F63" t="s">
        <v>42</v>
      </c>
      <c r="G63" t="s">
        <v>43</v>
      </c>
      <c r="H63">
        <v>99999</v>
      </c>
      <c r="I63" t="s">
        <v>30</v>
      </c>
      <c r="J63" t="s">
        <v>44</v>
      </c>
      <c r="K63" t="s">
        <v>45</v>
      </c>
      <c r="L63">
        <v>41704</v>
      </c>
      <c r="M63" t="s">
        <v>46</v>
      </c>
      <c r="N63" t="s">
        <v>47</v>
      </c>
      <c r="O63" t="s">
        <v>41</v>
      </c>
      <c r="P63" t="s">
        <v>42</v>
      </c>
      <c r="Q63" t="s">
        <v>43</v>
      </c>
      <c r="R63">
        <v>99999</v>
      </c>
      <c r="S63" t="s">
        <v>30</v>
      </c>
      <c r="T63" t="s">
        <v>48</v>
      </c>
      <c r="U63" t="s">
        <v>149</v>
      </c>
      <c r="V63" t="s">
        <v>110</v>
      </c>
      <c r="W63">
        <v>81</v>
      </c>
      <c r="X63">
        <v>77</v>
      </c>
      <c r="Y63">
        <v>6237</v>
      </c>
      <c r="Z63">
        <v>642.41100000000006</v>
      </c>
    </row>
    <row r="64" spans="1:26" x14ac:dyDescent="0.35">
      <c r="A64">
        <v>1065</v>
      </c>
      <c r="B64">
        <v>41702</v>
      </c>
      <c r="C64">
        <v>4</v>
      </c>
      <c r="D64" t="s">
        <v>40</v>
      </c>
      <c r="E64" t="s">
        <v>41</v>
      </c>
      <c r="F64" t="s">
        <v>42</v>
      </c>
      <c r="G64" t="s">
        <v>43</v>
      </c>
      <c r="H64">
        <v>99999</v>
      </c>
      <c r="I64" t="s">
        <v>30</v>
      </c>
      <c r="J64" t="s">
        <v>44</v>
      </c>
      <c r="K64" t="s">
        <v>45</v>
      </c>
      <c r="L64">
        <v>41704</v>
      </c>
      <c r="M64" t="s">
        <v>46</v>
      </c>
      <c r="N64" t="s">
        <v>47</v>
      </c>
      <c r="O64" t="s">
        <v>41</v>
      </c>
      <c r="P64" t="s">
        <v>42</v>
      </c>
      <c r="Q64" t="s">
        <v>43</v>
      </c>
      <c r="R64">
        <v>99999</v>
      </c>
      <c r="S64" t="s">
        <v>30</v>
      </c>
      <c r="T64" t="s">
        <v>48</v>
      </c>
      <c r="U64" t="s">
        <v>150</v>
      </c>
      <c r="V64" t="s">
        <v>151</v>
      </c>
      <c r="W64">
        <v>7</v>
      </c>
      <c r="X64">
        <v>37</v>
      </c>
      <c r="Y64">
        <v>259</v>
      </c>
      <c r="Z64">
        <v>24.605</v>
      </c>
    </row>
    <row r="65" spans="1:26" x14ac:dyDescent="0.35">
      <c r="A65">
        <v>1067</v>
      </c>
      <c r="B65">
        <v>41706</v>
      </c>
      <c r="C65">
        <v>8</v>
      </c>
      <c r="D65" t="s">
        <v>56</v>
      </c>
      <c r="E65" t="s">
        <v>57</v>
      </c>
      <c r="F65" t="s">
        <v>58</v>
      </c>
      <c r="G65" t="s">
        <v>59</v>
      </c>
      <c r="H65">
        <v>99999</v>
      </c>
      <c r="I65" t="s">
        <v>30</v>
      </c>
      <c r="J65" t="s">
        <v>60</v>
      </c>
      <c r="K65" t="s">
        <v>61</v>
      </c>
      <c r="L65">
        <v>41708</v>
      </c>
      <c r="M65" t="s">
        <v>62</v>
      </c>
      <c r="N65" t="s">
        <v>63</v>
      </c>
      <c r="O65" t="s">
        <v>57</v>
      </c>
      <c r="P65" t="s">
        <v>58</v>
      </c>
      <c r="Q65" t="s">
        <v>59</v>
      </c>
      <c r="R65">
        <v>99999</v>
      </c>
      <c r="S65" t="s">
        <v>30</v>
      </c>
      <c r="T65" t="s">
        <v>48</v>
      </c>
      <c r="U65" t="s">
        <v>133</v>
      </c>
      <c r="V65" t="s">
        <v>134</v>
      </c>
      <c r="W65">
        <v>34.799999999999997</v>
      </c>
      <c r="X65">
        <v>63</v>
      </c>
      <c r="Y65">
        <v>2192.3999999999996</v>
      </c>
      <c r="Z65">
        <v>217.04759999999999</v>
      </c>
    </row>
    <row r="66" spans="1:26" x14ac:dyDescent="0.35">
      <c r="A66">
        <v>1070</v>
      </c>
      <c r="B66">
        <v>41701</v>
      </c>
      <c r="C66">
        <v>3</v>
      </c>
      <c r="D66" t="s">
        <v>74</v>
      </c>
      <c r="E66" t="s">
        <v>75</v>
      </c>
      <c r="F66" t="s">
        <v>76</v>
      </c>
      <c r="G66" t="s">
        <v>77</v>
      </c>
      <c r="H66">
        <v>99999</v>
      </c>
      <c r="I66" t="s">
        <v>30</v>
      </c>
      <c r="J66" t="s">
        <v>31</v>
      </c>
      <c r="K66" t="s">
        <v>32</v>
      </c>
      <c r="L66">
        <v>41703</v>
      </c>
      <c r="M66" t="s">
        <v>33</v>
      </c>
      <c r="N66" t="s">
        <v>78</v>
      </c>
      <c r="O66" t="s">
        <v>75</v>
      </c>
      <c r="P66" t="s">
        <v>76</v>
      </c>
      <c r="Q66" t="s">
        <v>77</v>
      </c>
      <c r="R66">
        <v>99999</v>
      </c>
      <c r="S66" t="s">
        <v>30</v>
      </c>
      <c r="T66" t="s">
        <v>79</v>
      </c>
      <c r="U66" t="s">
        <v>135</v>
      </c>
      <c r="V66" t="s">
        <v>112</v>
      </c>
      <c r="W66">
        <v>10</v>
      </c>
      <c r="X66">
        <v>48</v>
      </c>
      <c r="Y66">
        <v>480</v>
      </c>
      <c r="Z66">
        <v>48</v>
      </c>
    </row>
    <row r="67" spans="1:26" x14ac:dyDescent="0.35">
      <c r="A67">
        <v>1071</v>
      </c>
      <c r="B67">
        <v>41701</v>
      </c>
      <c r="C67">
        <v>3</v>
      </c>
      <c r="D67" t="s">
        <v>74</v>
      </c>
      <c r="E67" t="s">
        <v>75</v>
      </c>
      <c r="F67" t="s">
        <v>76</v>
      </c>
      <c r="G67" t="s">
        <v>77</v>
      </c>
      <c r="H67">
        <v>99999</v>
      </c>
      <c r="I67" t="s">
        <v>30</v>
      </c>
      <c r="J67" t="s">
        <v>31</v>
      </c>
      <c r="K67" t="s">
        <v>32</v>
      </c>
      <c r="L67">
        <v>41703</v>
      </c>
      <c r="M67" t="s">
        <v>33</v>
      </c>
      <c r="N67" t="s">
        <v>78</v>
      </c>
      <c r="O67" t="s">
        <v>75</v>
      </c>
      <c r="P67" t="s">
        <v>76</v>
      </c>
      <c r="Q67" t="s">
        <v>77</v>
      </c>
      <c r="R67">
        <v>99999</v>
      </c>
      <c r="S67" t="s">
        <v>30</v>
      </c>
      <c r="T67" t="s">
        <v>79</v>
      </c>
      <c r="U67" t="s">
        <v>88</v>
      </c>
      <c r="V67" t="s">
        <v>89</v>
      </c>
      <c r="W67">
        <v>40</v>
      </c>
      <c r="X67">
        <v>71</v>
      </c>
      <c r="Y67">
        <v>2840</v>
      </c>
      <c r="Z67">
        <v>295.36</v>
      </c>
    </row>
    <row r="68" spans="1:26" x14ac:dyDescent="0.35">
      <c r="A68">
        <v>1075</v>
      </c>
      <c r="B68">
        <v>41708</v>
      </c>
      <c r="C68">
        <v>10</v>
      </c>
      <c r="D68" t="s">
        <v>97</v>
      </c>
      <c r="E68" t="s">
        <v>98</v>
      </c>
      <c r="F68" t="s">
        <v>99</v>
      </c>
      <c r="G68" t="s">
        <v>100</v>
      </c>
      <c r="H68">
        <v>99999</v>
      </c>
      <c r="I68" t="s">
        <v>30</v>
      </c>
      <c r="J68" t="s">
        <v>101</v>
      </c>
      <c r="K68" t="s">
        <v>45</v>
      </c>
      <c r="L68">
        <v>41710</v>
      </c>
      <c r="M68" t="s">
        <v>33</v>
      </c>
      <c r="N68" t="s">
        <v>102</v>
      </c>
      <c r="O68" t="s">
        <v>98</v>
      </c>
      <c r="P68" t="s">
        <v>99</v>
      </c>
      <c r="Q68" t="s">
        <v>100</v>
      </c>
      <c r="R68">
        <v>99999</v>
      </c>
      <c r="S68" t="s">
        <v>30</v>
      </c>
      <c r="T68" t="s">
        <v>48</v>
      </c>
      <c r="U68" t="s">
        <v>136</v>
      </c>
      <c r="V68" t="s">
        <v>39</v>
      </c>
      <c r="W68">
        <v>10</v>
      </c>
      <c r="X68">
        <v>55</v>
      </c>
      <c r="Y68">
        <v>550</v>
      </c>
      <c r="Z68">
        <v>55</v>
      </c>
    </row>
    <row r="69" spans="1:26" x14ac:dyDescent="0.35">
      <c r="A69">
        <v>1077</v>
      </c>
      <c r="B69">
        <v>41708</v>
      </c>
      <c r="C69">
        <v>10</v>
      </c>
      <c r="D69" t="s">
        <v>97</v>
      </c>
      <c r="E69" t="s">
        <v>98</v>
      </c>
      <c r="F69" t="s">
        <v>99</v>
      </c>
      <c r="G69" t="s">
        <v>100</v>
      </c>
      <c r="H69">
        <v>99999</v>
      </c>
      <c r="I69" t="s">
        <v>30</v>
      </c>
      <c r="J69" t="s">
        <v>101</v>
      </c>
      <c r="K69" t="s">
        <v>45</v>
      </c>
      <c r="M69" t="s">
        <v>46</v>
      </c>
      <c r="N69" t="s">
        <v>102</v>
      </c>
      <c r="O69" t="s">
        <v>98</v>
      </c>
      <c r="P69" t="s">
        <v>99</v>
      </c>
      <c r="Q69" t="s">
        <v>100</v>
      </c>
      <c r="R69">
        <v>99999</v>
      </c>
      <c r="S69" t="s">
        <v>30</v>
      </c>
      <c r="U69" t="s">
        <v>38</v>
      </c>
      <c r="V69" t="s">
        <v>39</v>
      </c>
      <c r="W69">
        <v>3.5</v>
      </c>
      <c r="X69">
        <v>21</v>
      </c>
      <c r="Y69">
        <v>73.5</v>
      </c>
      <c r="Z69">
        <v>7.3500000000000005</v>
      </c>
    </row>
    <row r="70" spans="1:26" x14ac:dyDescent="0.35">
      <c r="A70">
        <v>1078</v>
      </c>
      <c r="B70">
        <v>41709</v>
      </c>
      <c r="C70">
        <v>11</v>
      </c>
      <c r="D70" t="s">
        <v>113</v>
      </c>
      <c r="E70" t="s">
        <v>114</v>
      </c>
      <c r="F70" t="s">
        <v>115</v>
      </c>
      <c r="G70" t="s">
        <v>116</v>
      </c>
      <c r="H70">
        <v>99999</v>
      </c>
      <c r="I70" t="s">
        <v>30</v>
      </c>
      <c r="J70" t="s">
        <v>94</v>
      </c>
      <c r="K70" t="s">
        <v>95</v>
      </c>
      <c r="M70" t="s">
        <v>62</v>
      </c>
      <c r="N70" t="s">
        <v>117</v>
      </c>
      <c r="O70" t="s">
        <v>114</v>
      </c>
      <c r="P70" t="s">
        <v>115</v>
      </c>
      <c r="Q70" t="s">
        <v>116</v>
      </c>
      <c r="R70">
        <v>99999</v>
      </c>
      <c r="S70" t="s">
        <v>30</v>
      </c>
      <c r="U70" t="s">
        <v>88</v>
      </c>
      <c r="V70" t="s">
        <v>89</v>
      </c>
      <c r="W70">
        <v>40</v>
      </c>
      <c r="X70">
        <v>67</v>
      </c>
      <c r="Y70">
        <v>2680</v>
      </c>
      <c r="Z70">
        <v>270.68</v>
      </c>
    </row>
    <row r="71" spans="1:26" x14ac:dyDescent="0.35">
      <c r="A71">
        <v>1079</v>
      </c>
      <c r="B71">
        <v>41699</v>
      </c>
      <c r="C71">
        <v>1</v>
      </c>
      <c r="D71" t="s">
        <v>118</v>
      </c>
      <c r="E71" t="s">
        <v>119</v>
      </c>
      <c r="F71" t="s">
        <v>120</v>
      </c>
      <c r="G71" t="s">
        <v>121</v>
      </c>
      <c r="H71">
        <v>99999</v>
      </c>
      <c r="I71" t="s">
        <v>30</v>
      </c>
      <c r="J71" t="s">
        <v>60</v>
      </c>
      <c r="K71" t="s">
        <v>61</v>
      </c>
      <c r="M71" t="s">
        <v>62</v>
      </c>
      <c r="N71" t="s">
        <v>122</v>
      </c>
      <c r="O71" t="s">
        <v>119</v>
      </c>
      <c r="P71" t="s">
        <v>120</v>
      </c>
      <c r="Q71" t="s">
        <v>121</v>
      </c>
      <c r="R71">
        <v>99999</v>
      </c>
      <c r="S71" t="s">
        <v>30</v>
      </c>
      <c r="U71" t="s">
        <v>123</v>
      </c>
      <c r="V71" t="s">
        <v>124</v>
      </c>
      <c r="W71">
        <v>18.399999999999999</v>
      </c>
      <c r="X71">
        <v>75</v>
      </c>
      <c r="Y71">
        <v>1380</v>
      </c>
      <c r="Z71">
        <v>138</v>
      </c>
    </row>
    <row r="72" spans="1:26" x14ac:dyDescent="0.35">
      <c r="A72">
        <v>1080</v>
      </c>
      <c r="B72">
        <v>41726</v>
      </c>
      <c r="C72">
        <v>28</v>
      </c>
      <c r="D72" t="s">
        <v>90</v>
      </c>
      <c r="E72" t="s">
        <v>91</v>
      </c>
      <c r="F72" t="s">
        <v>92</v>
      </c>
      <c r="G72" t="s">
        <v>93</v>
      </c>
      <c r="H72">
        <v>99999</v>
      </c>
      <c r="I72" t="s">
        <v>30</v>
      </c>
      <c r="J72" t="s">
        <v>94</v>
      </c>
      <c r="K72" t="s">
        <v>95</v>
      </c>
      <c r="L72">
        <v>41728</v>
      </c>
      <c r="M72" t="s">
        <v>62</v>
      </c>
      <c r="N72" t="s">
        <v>96</v>
      </c>
      <c r="O72" t="s">
        <v>91</v>
      </c>
      <c r="P72" t="s">
        <v>92</v>
      </c>
      <c r="Q72" t="s">
        <v>93</v>
      </c>
      <c r="R72">
        <v>99999</v>
      </c>
      <c r="S72" t="s">
        <v>30</v>
      </c>
      <c r="T72" t="s">
        <v>48</v>
      </c>
      <c r="U72" t="s">
        <v>55</v>
      </c>
      <c r="V72" t="s">
        <v>37</v>
      </c>
      <c r="W72">
        <v>46</v>
      </c>
      <c r="X72">
        <v>17</v>
      </c>
      <c r="Y72">
        <v>782</v>
      </c>
      <c r="Z72">
        <v>80.546000000000006</v>
      </c>
    </row>
    <row r="73" spans="1:26" x14ac:dyDescent="0.35">
      <c r="A73">
        <v>1081</v>
      </c>
      <c r="B73">
        <v>41733</v>
      </c>
      <c r="C73">
        <v>4</v>
      </c>
      <c r="D73" t="s">
        <v>40</v>
      </c>
      <c r="E73" t="s">
        <v>41</v>
      </c>
      <c r="F73" t="s">
        <v>42</v>
      </c>
      <c r="G73" t="s">
        <v>43</v>
      </c>
      <c r="H73">
        <v>99999</v>
      </c>
      <c r="I73" t="s">
        <v>30</v>
      </c>
      <c r="J73" t="s">
        <v>44</v>
      </c>
      <c r="K73" t="s">
        <v>45</v>
      </c>
      <c r="L73">
        <v>41735</v>
      </c>
      <c r="M73" t="s">
        <v>46</v>
      </c>
      <c r="N73" t="s">
        <v>47</v>
      </c>
      <c r="O73" t="s">
        <v>41</v>
      </c>
      <c r="P73" t="s">
        <v>42</v>
      </c>
      <c r="Q73" t="s">
        <v>43</v>
      </c>
      <c r="R73">
        <v>99999</v>
      </c>
      <c r="S73" t="s">
        <v>30</v>
      </c>
      <c r="T73" t="s">
        <v>48</v>
      </c>
      <c r="U73" t="s">
        <v>38</v>
      </c>
      <c r="V73" t="s">
        <v>39</v>
      </c>
      <c r="W73">
        <v>3.5</v>
      </c>
      <c r="X73">
        <v>48</v>
      </c>
      <c r="Y73">
        <v>168</v>
      </c>
      <c r="Z73">
        <v>16.295999999999999</v>
      </c>
    </row>
    <row r="74" spans="1:26" x14ac:dyDescent="0.35">
      <c r="A74">
        <v>1082</v>
      </c>
      <c r="B74">
        <v>41741</v>
      </c>
      <c r="C74">
        <v>12</v>
      </c>
      <c r="D74" t="s">
        <v>51</v>
      </c>
      <c r="E74" t="s">
        <v>52</v>
      </c>
      <c r="F74" t="s">
        <v>28</v>
      </c>
      <c r="G74" t="s">
        <v>29</v>
      </c>
      <c r="H74">
        <v>99999</v>
      </c>
      <c r="I74" t="s">
        <v>30</v>
      </c>
      <c r="J74" t="s">
        <v>31</v>
      </c>
      <c r="K74" t="s">
        <v>32</v>
      </c>
      <c r="L74">
        <v>41743</v>
      </c>
      <c r="M74" t="s">
        <v>33</v>
      </c>
      <c r="N74" t="s">
        <v>53</v>
      </c>
      <c r="O74" t="s">
        <v>52</v>
      </c>
      <c r="P74" t="s">
        <v>28</v>
      </c>
      <c r="Q74" t="s">
        <v>29</v>
      </c>
      <c r="R74">
        <v>99999</v>
      </c>
      <c r="S74" t="s">
        <v>30</v>
      </c>
      <c r="T74" t="s">
        <v>48</v>
      </c>
      <c r="U74" t="s">
        <v>54</v>
      </c>
      <c r="V74" t="s">
        <v>37</v>
      </c>
      <c r="W74">
        <v>18</v>
      </c>
      <c r="X74">
        <v>74</v>
      </c>
      <c r="Y74">
        <v>1332</v>
      </c>
      <c r="Z74">
        <v>137.19600000000003</v>
      </c>
    </row>
    <row r="75" spans="1:26" x14ac:dyDescent="0.35">
      <c r="A75">
        <v>1083</v>
      </c>
      <c r="B75">
        <v>41741</v>
      </c>
      <c r="C75">
        <v>12</v>
      </c>
      <c r="D75" t="s">
        <v>51</v>
      </c>
      <c r="E75" t="s">
        <v>52</v>
      </c>
      <c r="F75" t="s">
        <v>28</v>
      </c>
      <c r="G75" t="s">
        <v>29</v>
      </c>
      <c r="H75">
        <v>99999</v>
      </c>
      <c r="I75" t="s">
        <v>30</v>
      </c>
      <c r="J75" t="s">
        <v>31</v>
      </c>
      <c r="K75" t="s">
        <v>32</v>
      </c>
      <c r="L75">
        <v>41743</v>
      </c>
      <c r="M75" t="s">
        <v>33</v>
      </c>
      <c r="N75" t="s">
        <v>53</v>
      </c>
      <c r="O75" t="s">
        <v>52</v>
      </c>
      <c r="P75" t="s">
        <v>28</v>
      </c>
      <c r="Q75" t="s">
        <v>29</v>
      </c>
      <c r="R75">
        <v>99999</v>
      </c>
      <c r="S75" t="s">
        <v>30</v>
      </c>
      <c r="T75" t="s">
        <v>48</v>
      </c>
      <c r="U75" t="s">
        <v>55</v>
      </c>
      <c r="V75" t="s">
        <v>37</v>
      </c>
      <c r="W75">
        <v>46</v>
      </c>
      <c r="X75">
        <v>96</v>
      </c>
      <c r="Y75">
        <v>4416</v>
      </c>
      <c r="Z75">
        <v>428.35200000000003</v>
      </c>
    </row>
    <row r="76" spans="1:26" x14ac:dyDescent="0.35">
      <c r="A76">
        <v>1084</v>
      </c>
      <c r="B76">
        <v>41737</v>
      </c>
      <c r="C76">
        <v>8</v>
      </c>
      <c r="D76" t="s">
        <v>56</v>
      </c>
      <c r="E76" t="s">
        <v>57</v>
      </c>
      <c r="F76" t="s">
        <v>58</v>
      </c>
      <c r="G76" t="s">
        <v>59</v>
      </c>
      <c r="H76">
        <v>99999</v>
      </c>
      <c r="I76" t="s">
        <v>30</v>
      </c>
      <c r="J76" t="s">
        <v>60</v>
      </c>
      <c r="K76" t="s">
        <v>61</v>
      </c>
      <c r="L76">
        <v>41739</v>
      </c>
      <c r="M76" t="s">
        <v>62</v>
      </c>
      <c r="N76" t="s">
        <v>63</v>
      </c>
      <c r="O76" t="s">
        <v>57</v>
      </c>
      <c r="P76" t="s">
        <v>58</v>
      </c>
      <c r="Q76" t="s">
        <v>59</v>
      </c>
      <c r="R76">
        <v>99999</v>
      </c>
      <c r="S76" t="s">
        <v>30</v>
      </c>
      <c r="T76" t="s">
        <v>48</v>
      </c>
      <c r="U76" t="s">
        <v>64</v>
      </c>
      <c r="V76" t="s">
        <v>65</v>
      </c>
      <c r="W76">
        <v>9.1999999999999993</v>
      </c>
      <c r="X76">
        <v>12</v>
      </c>
      <c r="Y76">
        <v>110.39999999999999</v>
      </c>
      <c r="Z76">
        <v>11.3712</v>
      </c>
    </row>
    <row r="77" spans="1:26" x14ac:dyDescent="0.35">
      <c r="A77">
        <v>1085</v>
      </c>
      <c r="B77">
        <v>41733</v>
      </c>
      <c r="C77">
        <v>4</v>
      </c>
      <c r="D77" t="s">
        <v>40</v>
      </c>
      <c r="E77" t="s">
        <v>41</v>
      </c>
      <c r="F77" t="s">
        <v>42</v>
      </c>
      <c r="G77" t="s">
        <v>43</v>
      </c>
      <c r="H77">
        <v>99999</v>
      </c>
      <c r="I77" t="s">
        <v>30</v>
      </c>
      <c r="J77" t="s">
        <v>44</v>
      </c>
      <c r="K77" t="s">
        <v>45</v>
      </c>
      <c r="L77">
        <v>41735</v>
      </c>
      <c r="M77" t="s">
        <v>62</v>
      </c>
      <c r="N77" t="s">
        <v>47</v>
      </c>
      <c r="O77" t="s">
        <v>41</v>
      </c>
      <c r="P77" t="s">
        <v>42</v>
      </c>
      <c r="Q77" t="s">
        <v>43</v>
      </c>
      <c r="R77">
        <v>99999</v>
      </c>
      <c r="S77" t="s">
        <v>30</v>
      </c>
      <c r="T77" t="s">
        <v>35</v>
      </c>
      <c r="U77" t="s">
        <v>64</v>
      </c>
      <c r="V77" t="s">
        <v>65</v>
      </c>
      <c r="W77">
        <v>9.1999999999999993</v>
      </c>
      <c r="X77">
        <v>62</v>
      </c>
      <c r="Y77">
        <v>570.4</v>
      </c>
      <c r="Z77">
        <v>58.751199999999997</v>
      </c>
    </row>
    <row r="78" spans="1:26" x14ac:dyDescent="0.35">
      <c r="A78">
        <v>1086</v>
      </c>
      <c r="B78">
        <v>41758</v>
      </c>
      <c r="C78">
        <v>29</v>
      </c>
      <c r="D78" t="s">
        <v>66</v>
      </c>
      <c r="E78" t="s">
        <v>67</v>
      </c>
      <c r="F78" t="s">
        <v>68</v>
      </c>
      <c r="G78" t="s">
        <v>69</v>
      </c>
      <c r="H78">
        <v>99999</v>
      </c>
      <c r="I78" t="s">
        <v>30</v>
      </c>
      <c r="J78" t="s">
        <v>70</v>
      </c>
      <c r="K78" t="s">
        <v>32</v>
      </c>
      <c r="L78">
        <v>41760</v>
      </c>
      <c r="M78" t="s">
        <v>33</v>
      </c>
      <c r="N78" t="s">
        <v>71</v>
      </c>
      <c r="O78" t="s">
        <v>67</v>
      </c>
      <c r="P78" t="s">
        <v>68</v>
      </c>
      <c r="Q78" t="s">
        <v>69</v>
      </c>
      <c r="R78">
        <v>99999</v>
      </c>
      <c r="S78" t="s">
        <v>30</v>
      </c>
      <c r="T78" t="s">
        <v>35</v>
      </c>
      <c r="U78" t="s">
        <v>72</v>
      </c>
      <c r="V78" t="s">
        <v>73</v>
      </c>
      <c r="W78">
        <v>12.75</v>
      </c>
      <c r="X78">
        <v>35</v>
      </c>
      <c r="Y78">
        <v>446.25</v>
      </c>
      <c r="Z78">
        <v>45.963750000000005</v>
      </c>
    </row>
    <row r="79" spans="1:26" x14ac:dyDescent="0.35">
      <c r="A79">
        <v>1087</v>
      </c>
      <c r="B79">
        <v>41732</v>
      </c>
      <c r="C79">
        <v>3</v>
      </c>
      <c r="D79" t="s">
        <v>74</v>
      </c>
      <c r="E79" t="s">
        <v>75</v>
      </c>
      <c r="F79" t="s">
        <v>76</v>
      </c>
      <c r="G79" t="s">
        <v>77</v>
      </c>
      <c r="H79">
        <v>99999</v>
      </c>
      <c r="I79" t="s">
        <v>30</v>
      </c>
      <c r="J79" t="s">
        <v>31</v>
      </c>
      <c r="K79" t="s">
        <v>32</v>
      </c>
      <c r="L79">
        <v>41734</v>
      </c>
      <c r="M79" t="s">
        <v>33</v>
      </c>
      <c r="N79" t="s">
        <v>78</v>
      </c>
      <c r="O79" t="s">
        <v>75</v>
      </c>
      <c r="P79" t="s">
        <v>76</v>
      </c>
      <c r="Q79" t="s">
        <v>77</v>
      </c>
      <c r="R79">
        <v>99999</v>
      </c>
      <c r="S79" t="s">
        <v>30</v>
      </c>
      <c r="T79" t="s">
        <v>79</v>
      </c>
      <c r="U79" t="s">
        <v>80</v>
      </c>
      <c r="V79" t="s">
        <v>81</v>
      </c>
      <c r="W79">
        <v>9.65</v>
      </c>
      <c r="X79">
        <v>95</v>
      </c>
      <c r="Y79">
        <v>916.75</v>
      </c>
      <c r="Z79">
        <v>91.675000000000011</v>
      </c>
    </row>
    <row r="80" spans="1:26" x14ac:dyDescent="0.35">
      <c r="A80">
        <v>1088</v>
      </c>
      <c r="B80">
        <v>41735</v>
      </c>
      <c r="C80">
        <v>6</v>
      </c>
      <c r="D80" t="s">
        <v>82</v>
      </c>
      <c r="E80" t="s">
        <v>83</v>
      </c>
      <c r="F80" t="s">
        <v>84</v>
      </c>
      <c r="G80" t="s">
        <v>85</v>
      </c>
      <c r="H80">
        <v>99999</v>
      </c>
      <c r="I80" t="s">
        <v>30</v>
      </c>
      <c r="J80" t="s">
        <v>86</v>
      </c>
      <c r="K80" t="s">
        <v>61</v>
      </c>
      <c r="L80">
        <v>41737</v>
      </c>
      <c r="M80" t="s">
        <v>33</v>
      </c>
      <c r="N80" t="s">
        <v>87</v>
      </c>
      <c r="O80" t="s">
        <v>83</v>
      </c>
      <c r="P80" t="s">
        <v>84</v>
      </c>
      <c r="Q80" t="s">
        <v>85</v>
      </c>
      <c r="R80">
        <v>99999</v>
      </c>
      <c r="S80" t="s">
        <v>30</v>
      </c>
      <c r="T80" t="s">
        <v>48</v>
      </c>
      <c r="U80" t="s">
        <v>88</v>
      </c>
      <c r="V80" t="s">
        <v>89</v>
      </c>
      <c r="W80">
        <v>40</v>
      </c>
      <c r="X80">
        <v>17</v>
      </c>
      <c r="Y80">
        <v>680</v>
      </c>
      <c r="Z80">
        <v>68.680000000000007</v>
      </c>
    </row>
    <row r="81" spans="1:26" x14ac:dyDescent="0.35">
      <c r="A81">
        <v>1089</v>
      </c>
      <c r="B81">
        <v>41757</v>
      </c>
      <c r="C81">
        <v>28</v>
      </c>
      <c r="D81" t="s">
        <v>90</v>
      </c>
      <c r="E81" t="s">
        <v>91</v>
      </c>
      <c r="F81" t="s">
        <v>92</v>
      </c>
      <c r="G81" t="s">
        <v>93</v>
      </c>
      <c r="H81">
        <v>99999</v>
      </c>
      <c r="I81" t="s">
        <v>30</v>
      </c>
      <c r="J81" t="s">
        <v>94</v>
      </c>
      <c r="K81" t="s">
        <v>95</v>
      </c>
      <c r="L81">
        <v>41759</v>
      </c>
      <c r="M81" t="s">
        <v>62</v>
      </c>
      <c r="N81" t="s">
        <v>96</v>
      </c>
      <c r="O81" t="s">
        <v>91</v>
      </c>
      <c r="P81" t="s">
        <v>92</v>
      </c>
      <c r="Q81" t="s">
        <v>93</v>
      </c>
      <c r="R81">
        <v>99999</v>
      </c>
      <c r="S81" t="s">
        <v>30</v>
      </c>
      <c r="T81" t="s">
        <v>35</v>
      </c>
      <c r="U81" t="s">
        <v>55</v>
      </c>
      <c r="V81" t="s">
        <v>37</v>
      </c>
      <c r="W81">
        <v>46</v>
      </c>
      <c r="X81">
        <v>96</v>
      </c>
      <c r="Y81">
        <v>4416</v>
      </c>
      <c r="Z81">
        <v>463.68000000000006</v>
      </c>
    </row>
    <row r="82" spans="1:26" x14ac:dyDescent="0.35">
      <c r="A82">
        <v>1090</v>
      </c>
      <c r="B82">
        <v>41737</v>
      </c>
      <c r="C82">
        <v>8</v>
      </c>
      <c r="D82" t="s">
        <v>56</v>
      </c>
      <c r="E82" t="s">
        <v>57</v>
      </c>
      <c r="F82" t="s">
        <v>58</v>
      </c>
      <c r="G82" t="s">
        <v>59</v>
      </c>
      <c r="H82">
        <v>99999</v>
      </c>
      <c r="I82" t="s">
        <v>30</v>
      </c>
      <c r="J82" t="s">
        <v>60</v>
      </c>
      <c r="K82" t="s">
        <v>61</v>
      </c>
      <c r="L82">
        <v>41739</v>
      </c>
      <c r="M82" t="s">
        <v>62</v>
      </c>
      <c r="N82" t="s">
        <v>63</v>
      </c>
      <c r="O82" t="s">
        <v>57</v>
      </c>
      <c r="P82" t="s">
        <v>58</v>
      </c>
      <c r="Q82" t="s">
        <v>59</v>
      </c>
      <c r="R82">
        <v>99999</v>
      </c>
      <c r="S82" t="s">
        <v>30</v>
      </c>
      <c r="T82" t="s">
        <v>35</v>
      </c>
      <c r="U82" t="s">
        <v>72</v>
      </c>
      <c r="V82" t="s">
        <v>73</v>
      </c>
      <c r="W82">
        <v>12.75</v>
      </c>
      <c r="X82">
        <v>83</v>
      </c>
      <c r="Y82">
        <v>1058.25</v>
      </c>
      <c r="Z82">
        <v>102.65025</v>
      </c>
    </row>
    <row r="83" spans="1:26" x14ac:dyDescent="0.35">
      <c r="A83">
        <v>1091</v>
      </c>
      <c r="B83">
        <v>41739</v>
      </c>
      <c r="C83">
        <v>10</v>
      </c>
      <c r="D83" t="s">
        <v>97</v>
      </c>
      <c r="E83" t="s">
        <v>98</v>
      </c>
      <c r="F83" t="s">
        <v>99</v>
      </c>
      <c r="G83" t="s">
        <v>100</v>
      </c>
      <c r="H83">
        <v>99999</v>
      </c>
      <c r="I83" t="s">
        <v>30</v>
      </c>
      <c r="J83" t="s">
        <v>101</v>
      </c>
      <c r="K83" t="s">
        <v>45</v>
      </c>
      <c r="L83">
        <v>41741</v>
      </c>
      <c r="M83" t="s">
        <v>33</v>
      </c>
      <c r="N83" t="s">
        <v>102</v>
      </c>
      <c r="O83" t="s">
        <v>98</v>
      </c>
      <c r="P83" t="s">
        <v>99</v>
      </c>
      <c r="Q83" t="s">
        <v>100</v>
      </c>
      <c r="R83">
        <v>99999</v>
      </c>
      <c r="S83" t="s">
        <v>30</v>
      </c>
      <c r="T83" t="s">
        <v>48</v>
      </c>
      <c r="U83" t="s">
        <v>103</v>
      </c>
      <c r="V83" t="s">
        <v>37</v>
      </c>
      <c r="W83">
        <v>2.99</v>
      </c>
      <c r="X83">
        <v>88</v>
      </c>
      <c r="Y83">
        <v>263.12</v>
      </c>
      <c r="Z83">
        <v>26.04888</v>
      </c>
    </row>
    <row r="84" spans="1:26" x14ac:dyDescent="0.35">
      <c r="A84">
        <v>1092</v>
      </c>
      <c r="B84">
        <v>41736</v>
      </c>
      <c r="C84">
        <v>7</v>
      </c>
      <c r="D84" t="s">
        <v>104</v>
      </c>
      <c r="E84" t="s">
        <v>105</v>
      </c>
      <c r="F84" t="s">
        <v>106</v>
      </c>
      <c r="G84" t="s">
        <v>107</v>
      </c>
      <c r="H84">
        <v>99999</v>
      </c>
      <c r="I84" t="s">
        <v>30</v>
      </c>
      <c r="J84" t="s">
        <v>60</v>
      </c>
      <c r="K84" t="s">
        <v>61</v>
      </c>
      <c r="N84" t="s">
        <v>108</v>
      </c>
      <c r="O84" t="s">
        <v>105</v>
      </c>
      <c r="P84" t="s">
        <v>106</v>
      </c>
      <c r="Q84" t="s">
        <v>107</v>
      </c>
      <c r="R84">
        <v>99999</v>
      </c>
      <c r="S84" t="s">
        <v>30</v>
      </c>
      <c r="U84" t="s">
        <v>55</v>
      </c>
      <c r="V84" t="s">
        <v>37</v>
      </c>
      <c r="W84">
        <v>46</v>
      </c>
      <c r="X84">
        <v>59</v>
      </c>
      <c r="Y84">
        <v>2714</v>
      </c>
      <c r="Z84">
        <v>284.97000000000003</v>
      </c>
    </row>
    <row r="85" spans="1:26" x14ac:dyDescent="0.35">
      <c r="A85">
        <v>1093</v>
      </c>
      <c r="B85">
        <v>41739</v>
      </c>
      <c r="C85">
        <v>10</v>
      </c>
      <c r="D85" t="s">
        <v>97</v>
      </c>
      <c r="E85" t="s">
        <v>98</v>
      </c>
      <c r="F85" t="s">
        <v>99</v>
      </c>
      <c r="G85" t="s">
        <v>100</v>
      </c>
      <c r="H85">
        <v>99999</v>
      </c>
      <c r="I85" t="s">
        <v>30</v>
      </c>
      <c r="J85" t="s">
        <v>101</v>
      </c>
      <c r="K85" t="s">
        <v>45</v>
      </c>
      <c r="L85">
        <v>41741</v>
      </c>
      <c r="M85" t="s">
        <v>46</v>
      </c>
      <c r="N85" t="s">
        <v>102</v>
      </c>
      <c r="O85" t="s">
        <v>98</v>
      </c>
      <c r="P85" t="s">
        <v>99</v>
      </c>
      <c r="Q85" t="s">
        <v>100</v>
      </c>
      <c r="R85">
        <v>99999</v>
      </c>
      <c r="S85" t="s">
        <v>30</v>
      </c>
      <c r="U85" t="s">
        <v>109</v>
      </c>
      <c r="V85" t="s">
        <v>110</v>
      </c>
      <c r="W85">
        <v>25</v>
      </c>
      <c r="X85">
        <v>27</v>
      </c>
      <c r="Y85">
        <v>675</v>
      </c>
      <c r="Z85">
        <v>68.849999999999994</v>
      </c>
    </row>
    <row r="86" spans="1:26" x14ac:dyDescent="0.35">
      <c r="A86">
        <v>1094</v>
      </c>
      <c r="B86">
        <v>41739</v>
      </c>
      <c r="C86">
        <v>10</v>
      </c>
      <c r="D86" t="s">
        <v>97</v>
      </c>
      <c r="E86" t="s">
        <v>98</v>
      </c>
      <c r="F86" t="s">
        <v>99</v>
      </c>
      <c r="G86" t="s">
        <v>100</v>
      </c>
      <c r="H86">
        <v>99999</v>
      </c>
      <c r="I86" t="s">
        <v>30</v>
      </c>
      <c r="J86" t="s">
        <v>101</v>
      </c>
      <c r="K86" t="s">
        <v>45</v>
      </c>
      <c r="L86">
        <v>41741</v>
      </c>
      <c r="M86" t="s">
        <v>46</v>
      </c>
      <c r="N86" t="s">
        <v>102</v>
      </c>
      <c r="O86" t="s">
        <v>98</v>
      </c>
      <c r="P86" t="s">
        <v>99</v>
      </c>
      <c r="Q86" t="s">
        <v>100</v>
      </c>
      <c r="R86">
        <v>99999</v>
      </c>
      <c r="S86" t="s">
        <v>30</v>
      </c>
      <c r="U86" t="s">
        <v>111</v>
      </c>
      <c r="V86" t="s">
        <v>112</v>
      </c>
      <c r="W86">
        <v>22</v>
      </c>
      <c r="X86">
        <v>37</v>
      </c>
      <c r="Y86">
        <v>814</v>
      </c>
      <c r="Z86">
        <v>85.470000000000013</v>
      </c>
    </row>
    <row r="87" spans="1:26" x14ac:dyDescent="0.35">
      <c r="A87">
        <v>1095</v>
      </c>
      <c r="B87">
        <v>41739</v>
      </c>
      <c r="C87">
        <v>10</v>
      </c>
      <c r="D87" t="s">
        <v>97</v>
      </c>
      <c r="E87" t="s">
        <v>98</v>
      </c>
      <c r="F87" t="s">
        <v>99</v>
      </c>
      <c r="G87" t="s">
        <v>100</v>
      </c>
      <c r="H87">
        <v>99999</v>
      </c>
      <c r="I87" t="s">
        <v>30</v>
      </c>
      <c r="J87" t="s">
        <v>101</v>
      </c>
      <c r="K87" t="s">
        <v>45</v>
      </c>
      <c r="L87">
        <v>41741</v>
      </c>
      <c r="M87" t="s">
        <v>46</v>
      </c>
      <c r="N87" t="s">
        <v>102</v>
      </c>
      <c r="O87" t="s">
        <v>98</v>
      </c>
      <c r="P87" t="s">
        <v>99</v>
      </c>
      <c r="Q87" t="s">
        <v>100</v>
      </c>
      <c r="R87">
        <v>99999</v>
      </c>
      <c r="S87" t="s">
        <v>30</v>
      </c>
      <c r="U87" t="s">
        <v>64</v>
      </c>
      <c r="V87" t="s">
        <v>65</v>
      </c>
      <c r="W87">
        <v>9.1999999999999993</v>
      </c>
      <c r="X87">
        <v>75</v>
      </c>
      <c r="Y87">
        <v>690</v>
      </c>
      <c r="Z87">
        <v>69</v>
      </c>
    </row>
    <row r="88" spans="1:26" x14ac:dyDescent="0.35">
      <c r="A88">
        <v>1096</v>
      </c>
      <c r="B88">
        <v>41740</v>
      </c>
      <c r="C88">
        <v>11</v>
      </c>
      <c r="D88" t="s">
        <v>113</v>
      </c>
      <c r="E88" t="s">
        <v>114</v>
      </c>
      <c r="F88" t="s">
        <v>115</v>
      </c>
      <c r="G88" t="s">
        <v>116</v>
      </c>
      <c r="H88">
        <v>99999</v>
      </c>
      <c r="I88" t="s">
        <v>30</v>
      </c>
      <c r="J88" t="s">
        <v>94</v>
      </c>
      <c r="K88" t="s">
        <v>95</v>
      </c>
      <c r="M88" t="s">
        <v>62</v>
      </c>
      <c r="N88" t="s">
        <v>117</v>
      </c>
      <c r="O88" t="s">
        <v>114</v>
      </c>
      <c r="P88" t="s">
        <v>115</v>
      </c>
      <c r="Q88" t="s">
        <v>116</v>
      </c>
      <c r="R88">
        <v>99999</v>
      </c>
      <c r="S88" t="s">
        <v>30</v>
      </c>
      <c r="U88" t="s">
        <v>38</v>
      </c>
      <c r="V88" t="s">
        <v>39</v>
      </c>
      <c r="W88">
        <v>3.5</v>
      </c>
      <c r="X88">
        <v>71</v>
      </c>
      <c r="Y88">
        <v>248.5</v>
      </c>
      <c r="Z88">
        <v>24.104500000000002</v>
      </c>
    </row>
    <row r="89" spans="1:26" x14ac:dyDescent="0.35">
      <c r="A89">
        <v>1097</v>
      </c>
      <c r="B89">
        <v>41740</v>
      </c>
      <c r="C89">
        <v>11</v>
      </c>
      <c r="D89" t="s">
        <v>113</v>
      </c>
      <c r="E89" t="s">
        <v>114</v>
      </c>
      <c r="F89" t="s">
        <v>115</v>
      </c>
      <c r="G89" t="s">
        <v>116</v>
      </c>
      <c r="H89">
        <v>99999</v>
      </c>
      <c r="I89" t="s">
        <v>30</v>
      </c>
      <c r="J89" t="s">
        <v>94</v>
      </c>
      <c r="K89" t="s">
        <v>95</v>
      </c>
      <c r="M89" t="s">
        <v>62</v>
      </c>
      <c r="N89" t="s">
        <v>117</v>
      </c>
      <c r="O89" t="s">
        <v>114</v>
      </c>
      <c r="P89" t="s">
        <v>115</v>
      </c>
      <c r="Q89" t="s">
        <v>116</v>
      </c>
      <c r="R89">
        <v>99999</v>
      </c>
      <c r="S89" t="s">
        <v>30</v>
      </c>
      <c r="U89" t="s">
        <v>103</v>
      </c>
      <c r="V89" t="s">
        <v>37</v>
      </c>
      <c r="W89">
        <v>2.99</v>
      </c>
      <c r="X89">
        <v>88</v>
      </c>
      <c r="Y89">
        <v>263.12</v>
      </c>
      <c r="Z89">
        <v>26.04888</v>
      </c>
    </row>
    <row r="90" spans="1:26" x14ac:dyDescent="0.35">
      <c r="A90">
        <v>1098</v>
      </c>
      <c r="B90">
        <v>41730</v>
      </c>
      <c r="C90">
        <v>1</v>
      </c>
      <c r="D90" t="s">
        <v>118</v>
      </c>
      <c r="E90" t="s">
        <v>119</v>
      </c>
      <c r="F90" t="s">
        <v>120</v>
      </c>
      <c r="G90" t="s">
        <v>121</v>
      </c>
      <c r="H90">
        <v>99999</v>
      </c>
      <c r="I90" t="s">
        <v>30</v>
      </c>
      <c r="J90" t="s">
        <v>60</v>
      </c>
      <c r="K90" t="s">
        <v>61</v>
      </c>
      <c r="N90" t="s">
        <v>122</v>
      </c>
      <c r="O90" t="s">
        <v>119</v>
      </c>
      <c r="P90" t="s">
        <v>120</v>
      </c>
      <c r="Q90" t="s">
        <v>121</v>
      </c>
      <c r="R90">
        <v>99999</v>
      </c>
      <c r="S90" t="s">
        <v>30</v>
      </c>
      <c r="U90" t="s">
        <v>54</v>
      </c>
      <c r="V90" t="s">
        <v>37</v>
      </c>
      <c r="W90">
        <v>18</v>
      </c>
      <c r="X90">
        <v>55</v>
      </c>
      <c r="Y90">
        <v>990</v>
      </c>
      <c r="Z90">
        <v>97.02</v>
      </c>
    </row>
    <row r="91" spans="1:26" x14ac:dyDescent="0.35">
      <c r="A91">
        <v>1099</v>
      </c>
      <c r="B91">
        <v>41788</v>
      </c>
      <c r="C91">
        <v>29</v>
      </c>
      <c r="D91" t="s">
        <v>66</v>
      </c>
      <c r="E91" t="s">
        <v>67</v>
      </c>
      <c r="F91" t="s">
        <v>68</v>
      </c>
      <c r="G91" t="s">
        <v>69</v>
      </c>
      <c r="H91">
        <v>99999</v>
      </c>
      <c r="I91" t="s">
        <v>30</v>
      </c>
      <c r="J91" t="s">
        <v>70</v>
      </c>
      <c r="K91" t="s">
        <v>32</v>
      </c>
      <c r="L91">
        <v>41790</v>
      </c>
      <c r="M91" t="s">
        <v>33</v>
      </c>
      <c r="N91" t="s">
        <v>71</v>
      </c>
      <c r="O91" t="s">
        <v>67</v>
      </c>
      <c r="P91" t="s">
        <v>68</v>
      </c>
      <c r="Q91" t="s">
        <v>69</v>
      </c>
      <c r="R91">
        <v>99999</v>
      </c>
      <c r="S91" t="s">
        <v>30</v>
      </c>
      <c r="T91" t="s">
        <v>35</v>
      </c>
      <c r="U91" t="s">
        <v>72</v>
      </c>
      <c r="V91" t="s">
        <v>73</v>
      </c>
      <c r="W91">
        <v>12.75</v>
      </c>
      <c r="X91">
        <v>14</v>
      </c>
      <c r="Y91">
        <v>178.5</v>
      </c>
      <c r="Z91">
        <v>16.9575</v>
      </c>
    </row>
    <row r="92" spans="1:26" x14ac:dyDescent="0.35">
      <c r="A92">
        <v>1100</v>
      </c>
      <c r="B92">
        <v>41762</v>
      </c>
      <c r="C92">
        <v>3</v>
      </c>
      <c r="D92" t="s">
        <v>74</v>
      </c>
      <c r="E92" t="s">
        <v>75</v>
      </c>
      <c r="F92" t="s">
        <v>76</v>
      </c>
      <c r="G92" t="s">
        <v>77</v>
      </c>
      <c r="H92">
        <v>99999</v>
      </c>
      <c r="I92" t="s">
        <v>30</v>
      </c>
      <c r="J92" t="s">
        <v>31</v>
      </c>
      <c r="K92" t="s">
        <v>32</v>
      </c>
      <c r="L92">
        <v>41764</v>
      </c>
      <c r="M92" t="s">
        <v>33</v>
      </c>
      <c r="N92" t="s">
        <v>78</v>
      </c>
      <c r="O92" t="s">
        <v>75</v>
      </c>
      <c r="P92" t="s">
        <v>76</v>
      </c>
      <c r="Q92" t="s">
        <v>77</v>
      </c>
      <c r="R92">
        <v>99999</v>
      </c>
      <c r="S92" t="s">
        <v>30</v>
      </c>
      <c r="T92" t="s">
        <v>79</v>
      </c>
      <c r="U92" t="s">
        <v>80</v>
      </c>
      <c r="V92" t="s">
        <v>81</v>
      </c>
      <c r="W92">
        <v>9.65</v>
      </c>
      <c r="X92">
        <v>43</v>
      </c>
      <c r="Y92">
        <v>414.95</v>
      </c>
      <c r="Z92">
        <v>42.324900000000007</v>
      </c>
    </row>
    <row r="93" spans="1:26" x14ac:dyDescent="0.35">
      <c r="A93">
        <v>1101</v>
      </c>
      <c r="B93">
        <v>41765</v>
      </c>
      <c r="C93">
        <v>6</v>
      </c>
      <c r="D93" t="s">
        <v>82</v>
      </c>
      <c r="E93" t="s">
        <v>83</v>
      </c>
      <c r="F93" t="s">
        <v>84</v>
      </c>
      <c r="G93" t="s">
        <v>85</v>
      </c>
      <c r="H93">
        <v>99999</v>
      </c>
      <c r="I93" t="s">
        <v>30</v>
      </c>
      <c r="J93" t="s">
        <v>86</v>
      </c>
      <c r="K93" t="s">
        <v>61</v>
      </c>
      <c r="L93">
        <v>41767</v>
      </c>
      <c r="M93" t="s">
        <v>33</v>
      </c>
      <c r="N93" t="s">
        <v>87</v>
      </c>
      <c r="O93" t="s">
        <v>83</v>
      </c>
      <c r="P93" t="s">
        <v>84</v>
      </c>
      <c r="Q93" t="s">
        <v>85</v>
      </c>
      <c r="R93">
        <v>99999</v>
      </c>
      <c r="S93" t="s">
        <v>30</v>
      </c>
      <c r="T93" t="s">
        <v>48</v>
      </c>
      <c r="U93" t="s">
        <v>88</v>
      </c>
      <c r="V93" t="s">
        <v>89</v>
      </c>
      <c r="W93">
        <v>40</v>
      </c>
      <c r="X93">
        <v>63</v>
      </c>
      <c r="Y93">
        <v>2520</v>
      </c>
      <c r="Z93">
        <v>254.52</v>
      </c>
    </row>
    <row r="94" spans="1:26" x14ac:dyDescent="0.35">
      <c r="A94">
        <v>1102</v>
      </c>
      <c r="B94">
        <v>41787</v>
      </c>
      <c r="C94">
        <v>28</v>
      </c>
      <c r="D94" t="s">
        <v>90</v>
      </c>
      <c r="E94" t="s">
        <v>91</v>
      </c>
      <c r="F94" t="s">
        <v>92</v>
      </c>
      <c r="G94" t="s">
        <v>93</v>
      </c>
      <c r="H94">
        <v>99999</v>
      </c>
      <c r="I94" t="s">
        <v>30</v>
      </c>
      <c r="J94" t="s">
        <v>94</v>
      </c>
      <c r="K94" t="s">
        <v>95</v>
      </c>
      <c r="L94">
        <v>41789</v>
      </c>
      <c r="M94" t="s">
        <v>62</v>
      </c>
      <c r="N94" t="s">
        <v>96</v>
      </c>
      <c r="O94" t="s">
        <v>91</v>
      </c>
      <c r="P94" t="s">
        <v>92</v>
      </c>
      <c r="Q94" t="s">
        <v>93</v>
      </c>
      <c r="R94">
        <v>99999</v>
      </c>
      <c r="S94" t="s">
        <v>30</v>
      </c>
      <c r="T94" t="s">
        <v>35</v>
      </c>
      <c r="U94" t="s">
        <v>55</v>
      </c>
      <c r="V94" t="s">
        <v>37</v>
      </c>
      <c r="W94">
        <v>46</v>
      </c>
      <c r="X94">
        <v>36</v>
      </c>
      <c r="Y94">
        <v>1656</v>
      </c>
      <c r="Z94">
        <v>165.60000000000002</v>
      </c>
    </row>
    <row r="95" spans="1:26" x14ac:dyDescent="0.35">
      <c r="A95">
        <v>1103</v>
      </c>
      <c r="B95">
        <v>41767</v>
      </c>
      <c r="C95">
        <v>8</v>
      </c>
      <c r="D95" t="s">
        <v>56</v>
      </c>
      <c r="E95" t="s">
        <v>57</v>
      </c>
      <c r="F95" t="s">
        <v>58</v>
      </c>
      <c r="G95" t="s">
        <v>59</v>
      </c>
      <c r="H95">
        <v>99999</v>
      </c>
      <c r="I95" t="s">
        <v>30</v>
      </c>
      <c r="J95" t="s">
        <v>60</v>
      </c>
      <c r="K95" t="s">
        <v>61</v>
      </c>
      <c r="L95">
        <v>41769</v>
      </c>
      <c r="M95" t="s">
        <v>62</v>
      </c>
      <c r="N95" t="s">
        <v>63</v>
      </c>
      <c r="O95" t="s">
        <v>57</v>
      </c>
      <c r="P95" t="s">
        <v>58</v>
      </c>
      <c r="Q95" t="s">
        <v>59</v>
      </c>
      <c r="R95">
        <v>99999</v>
      </c>
      <c r="S95" t="s">
        <v>30</v>
      </c>
      <c r="T95" t="s">
        <v>35</v>
      </c>
      <c r="U95" t="s">
        <v>72</v>
      </c>
      <c r="V95" t="s">
        <v>73</v>
      </c>
      <c r="W95">
        <v>12.75</v>
      </c>
      <c r="X95">
        <v>41</v>
      </c>
      <c r="Y95">
        <v>522.75</v>
      </c>
      <c r="Z95">
        <v>54.366000000000007</v>
      </c>
    </row>
    <row r="96" spans="1:26" x14ac:dyDescent="0.35">
      <c r="A96">
        <v>1104</v>
      </c>
      <c r="B96">
        <v>41769</v>
      </c>
      <c r="C96">
        <v>10</v>
      </c>
      <c r="D96" t="s">
        <v>97</v>
      </c>
      <c r="E96" t="s">
        <v>98</v>
      </c>
      <c r="F96" t="s">
        <v>99</v>
      </c>
      <c r="G96" t="s">
        <v>100</v>
      </c>
      <c r="H96">
        <v>99999</v>
      </c>
      <c r="I96" t="s">
        <v>30</v>
      </c>
      <c r="J96" t="s">
        <v>101</v>
      </c>
      <c r="K96" t="s">
        <v>45</v>
      </c>
      <c r="L96">
        <v>41771</v>
      </c>
      <c r="M96" t="s">
        <v>33</v>
      </c>
      <c r="N96" t="s">
        <v>102</v>
      </c>
      <c r="O96" t="s">
        <v>98</v>
      </c>
      <c r="P96" t="s">
        <v>99</v>
      </c>
      <c r="Q96" t="s">
        <v>100</v>
      </c>
      <c r="R96">
        <v>99999</v>
      </c>
      <c r="S96" t="s">
        <v>30</v>
      </c>
      <c r="T96" t="s">
        <v>48</v>
      </c>
      <c r="U96" t="s">
        <v>103</v>
      </c>
      <c r="V96" t="s">
        <v>37</v>
      </c>
      <c r="W96">
        <v>2.99</v>
      </c>
      <c r="X96">
        <v>35</v>
      </c>
      <c r="Y96">
        <v>104.65</v>
      </c>
      <c r="Z96">
        <v>10.255700000000001</v>
      </c>
    </row>
    <row r="97" spans="1:26" x14ac:dyDescent="0.35">
      <c r="A97">
        <v>1105</v>
      </c>
      <c r="B97">
        <v>41766</v>
      </c>
      <c r="C97">
        <v>7</v>
      </c>
      <c r="D97" t="s">
        <v>104</v>
      </c>
      <c r="E97" t="s">
        <v>105</v>
      </c>
      <c r="F97" t="s">
        <v>106</v>
      </c>
      <c r="G97" t="s">
        <v>107</v>
      </c>
      <c r="H97">
        <v>99999</v>
      </c>
      <c r="I97" t="s">
        <v>30</v>
      </c>
      <c r="J97" t="s">
        <v>60</v>
      </c>
      <c r="K97" t="s">
        <v>61</v>
      </c>
      <c r="N97" t="s">
        <v>108</v>
      </c>
      <c r="O97" t="s">
        <v>105</v>
      </c>
      <c r="P97" t="s">
        <v>106</v>
      </c>
      <c r="Q97" t="s">
        <v>107</v>
      </c>
      <c r="R97">
        <v>99999</v>
      </c>
      <c r="S97" t="s">
        <v>30</v>
      </c>
      <c r="U97" t="s">
        <v>55</v>
      </c>
      <c r="V97" t="s">
        <v>37</v>
      </c>
      <c r="W97">
        <v>46</v>
      </c>
      <c r="X97">
        <v>31</v>
      </c>
      <c r="Y97">
        <v>1426</v>
      </c>
      <c r="Z97">
        <v>136.89599999999999</v>
      </c>
    </row>
    <row r="98" spans="1:26" x14ac:dyDescent="0.35">
      <c r="A98">
        <v>1106</v>
      </c>
      <c r="B98">
        <v>41769</v>
      </c>
      <c r="C98">
        <v>10</v>
      </c>
      <c r="D98" t="s">
        <v>97</v>
      </c>
      <c r="E98" t="s">
        <v>98</v>
      </c>
      <c r="F98" t="s">
        <v>99</v>
      </c>
      <c r="G98" t="s">
        <v>100</v>
      </c>
      <c r="H98">
        <v>99999</v>
      </c>
      <c r="I98" t="s">
        <v>30</v>
      </c>
      <c r="J98" t="s">
        <v>101</v>
      </c>
      <c r="K98" t="s">
        <v>45</v>
      </c>
      <c r="L98">
        <v>41771</v>
      </c>
      <c r="M98" t="s">
        <v>46</v>
      </c>
      <c r="N98" t="s">
        <v>102</v>
      </c>
      <c r="O98" t="s">
        <v>98</v>
      </c>
      <c r="P98" t="s">
        <v>99</v>
      </c>
      <c r="Q98" t="s">
        <v>100</v>
      </c>
      <c r="R98">
        <v>99999</v>
      </c>
      <c r="S98" t="s">
        <v>30</v>
      </c>
      <c r="U98" t="s">
        <v>109</v>
      </c>
      <c r="V98" t="s">
        <v>110</v>
      </c>
      <c r="W98">
        <v>25</v>
      </c>
      <c r="X98">
        <v>52</v>
      </c>
      <c r="Y98">
        <v>1300</v>
      </c>
      <c r="Z98">
        <v>123.5</v>
      </c>
    </row>
    <row r="99" spans="1:26" x14ac:dyDescent="0.35">
      <c r="A99">
        <v>1107</v>
      </c>
      <c r="B99">
        <v>41769</v>
      </c>
      <c r="C99">
        <v>10</v>
      </c>
      <c r="D99" t="s">
        <v>97</v>
      </c>
      <c r="E99" t="s">
        <v>98</v>
      </c>
      <c r="F99" t="s">
        <v>99</v>
      </c>
      <c r="G99" t="s">
        <v>100</v>
      </c>
      <c r="H99">
        <v>99999</v>
      </c>
      <c r="I99" t="s">
        <v>30</v>
      </c>
      <c r="J99" t="s">
        <v>101</v>
      </c>
      <c r="K99" t="s">
        <v>45</v>
      </c>
      <c r="L99">
        <v>41771</v>
      </c>
      <c r="M99" t="s">
        <v>46</v>
      </c>
      <c r="N99" t="s">
        <v>102</v>
      </c>
      <c r="O99" t="s">
        <v>98</v>
      </c>
      <c r="P99" t="s">
        <v>99</v>
      </c>
      <c r="Q99" t="s">
        <v>100</v>
      </c>
      <c r="R99">
        <v>99999</v>
      </c>
      <c r="S99" t="s">
        <v>30</v>
      </c>
      <c r="U99" t="s">
        <v>111</v>
      </c>
      <c r="V99" t="s">
        <v>112</v>
      </c>
      <c r="W99">
        <v>22</v>
      </c>
      <c r="X99">
        <v>30</v>
      </c>
      <c r="Y99">
        <v>660</v>
      </c>
      <c r="Z99">
        <v>67.320000000000007</v>
      </c>
    </row>
    <row r="100" spans="1:26" x14ac:dyDescent="0.35">
      <c r="A100">
        <v>1108</v>
      </c>
      <c r="B100">
        <v>41769</v>
      </c>
      <c r="C100">
        <v>10</v>
      </c>
      <c r="D100" t="s">
        <v>97</v>
      </c>
      <c r="E100" t="s">
        <v>98</v>
      </c>
      <c r="F100" t="s">
        <v>99</v>
      </c>
      <c r="G100" t="s">
        <v>100</v>
      </c>
      <c r="H100">
        <v>99999</v>
      </c>
      <c r="I100" t="s">
        <v>30</v>
      </c>
      <c r="J100" t="s">
        <v>101</v>
      </c>
      <c r="K100" t="s">
        <v>45</v>
      </c>
      <c r="L100">
        <v>41771</v>
      </c>
      <c r="M100" t="s">
        <v>46</v>
      </c>
      <c r="N100" t="s">
        <v>102</v>
      </c>
      <c r="O100" t="s">
        <v>98</v>
      </c>
      <c r="P100" t="s">
        <v>99</v>
      </c>
      <c r="Q100" t="s">
        <v>100</v>
      </c>
      <c r="R100">
        <v>99999</v>
      </c>
      <c r="S100" t="s">
        <v>30</v>
      </c>
      <c r="U100" t="s">
        <v>64</v>
      </c>
      <c r="V100" t="s">
        <v>65</v>
      </c>
      <c r="W100">
        <v>9.1999999999999993</v>
      </c>
      <c r="X100">
        <v>41</v>
      </c>
      <c r="Y100">
        <v>377.2</v>
      </c>
      <c r="Z100">
        <v>38.474400000000003</v>
      </c>
    </row>
    <row r="101" spans="1:26" x14ac:dyDescent="0.35">
      <c r="A101">
        <v>1109</v>
      </c>
      <c r="B101">
        <v>41770</v>
      </c>
      <c r="C101">
        <v>11</v>
      </c>
      <c r="D101" t="s">
        <v>113</v>
      </c>
      <c r="E101" t="s">
        <v>114</v>
      </c>
      <c r="F101" t="s">
        <v>115</v>
      </c>
      <c r="G101" t="s">
        <v>116</v>
      </c>
      <c r="H101">
        <v>99999</v>
      </c>
      <c r="I101" t="s">
        <v>30</v>
      </c>
      <c r="J101" t="s">
        <v>94</v>
      </c>
      <c r="K101" t="s">
        <v>95</v>
      </c>
      <c r="M101" t="s">
        <v>62</v>
      </c>
      <c r="N101" t="s">
        <v>117</v>
      </c>
      <c r="O101" t="s">
        <v>114</v>
      </c>
      <c r="P101" t="s">
        <v>115</v>
      </c>
      <c r="Q101" t="s">
        <v>116</v>
      </c>
      <c r="R101">
        <v>99999</v>
      </c>
      <c r="S101" t="s">
        <v>30</v>
      </c>
      <c r="U101" t="s">
        <v>38</v>
      </c>
      <c r="V101" t="s">
        <v>39</v>
      </c>
      <c r="W101">
        <v>3.5</v>
      </c>
      <c r="X101">
        <v>44</v>
      </c>
      <c r="Y101">
        <v>154</v>
      </c>
      <c r="Z101">
        <v>15.246</v>
      </c>
    </row>
    <row r="102" spans="1:26" x14ac:dyDescent="0.35">
      <c r="A102">
        <v>1110</v>
      </c>
      <c r="B102">
        <v>41770</v>
      </c>
      <c r="C102">
        <v>11</v>
      </c>
      <c r="D102" t="s">
        <v>113</v>
      </c>
      <c r="E102" t="s">
        <v>114</v>
      </c>
      <c r="F102" t="s">
        <v>115</v>
      </c>
      <c r="G102" t="s">
        <v>116</v>
      </c>
      <c r="H102">
        <v>99999</v>
      </c>
      <c r="I102" t="s">
        <v>30</v>
      </c>
      <c r="J102" t="s">
        <v>94</v>
      </c>
      <c r="K102" t="s">
        <v>95</v>
      </c>
      <c r="M102" t="s">
        <v>62</v>
      </c>
      <c r="N102" t="s">
        <v>117</v>
      </c>
      <c r="O102" t="s">
        <v>114</v>
      </c>
      <c r="P102" t="s">
        <v>115</v>
      </c>
      <c r="Q102" t="s">
        <v>116</v>
      </c>
      <c r="R102">
        <v>99999</v>
      </c>
      <c r="S102" t="s">
        <v>30</v>
      </c>
      <c r="U102" t="s">
        <v>103</v>
      </c>
      <c r="V102" t="s">
        <v>37</v>
      </c>
      <c r="W102">
        <v>2.99</v>
      </c>
      <c r="X102">
        <v>77</v>
      </c>
      <c r="Y102">
        <v>230.23000000000002</v>
      </c>
      <c r="Z102">
        <v>23.023000000000003</v>
      </c>
    </row>
    <row r="103" spans="1:26" x14ac:dyDescent="0.35">
      <c r="A103">
        <v>1111</v>
      </c>
      <c r="B103">
        <v>41760</v>
      </c>
      <c r="C103">
        <v>1</v>
      </c>
      <c r="D103" t="s">
        <v>118</v>
      </c>
      <c r="E103" t="s">
        <v>119</v>
      </c>
      <c r="F103" t="s">
        <v>120</v>
      </c>
      <c r="G103" t="s">
        <v>121</v>
      </c>
      <c r="H103">
        <v>99999</v>
      </c>
      <c r="I103" t="s">
        <v>30</v>
      </c>
      <c r="J103" t="s">
        <v>60</v>
      </c>
      <c r="K103" t="s">
        <v>61</v>
      </c>
      <c r="N103" t="s">
        <v>122</v>
      </c>
      <c r="O103" t="s">
        <v>119</v>
      </c>
      <c r="P103" t="s">
        <v>120</v>
      </c>
      <c r="Q103" t="s">
        <v>121</v>
      </c>
      <c r="R103">
        <v>99999</v>
      </c>
      <c r="S103" t="s">
        <v>30</v>
      </c>
      <c r="U103" t="s">
        <v>54</v>
      </c>
      <c r="V103" t="s">
        <v>37</v>
      </c>
      <c r="W103">
        <v>18</v>
      </c>
      <c r="X103">
        <v>29</v>
      </c>
      <c r="Y103">
        <v>522</v>
      </c>
      <c r="Z103">
        <v>52.722000000000001</v>
      </c>
    </row>
    <row r="104" spans="1:26" x14ac:dyDescent="0.35">
      <c r="A104">
        <v>1112</v>
      </c>
      <c r="B104">
        <v>41760</v>
      </c>
      <c r="C104">
        <v>1</v>
      </c>
      <c r="D104" t="s">
        <v>118</v>
      </c>
      <c r="E104" t="s">
        <v>119</v>
      </c>
      <c r="F104" t="s">
        <v>120</v>
      </c>
      <c r="G104" t="s">
        <v>121</v>
      </c>
      <c r="H104">
        <v>99999</v>
      </c>
      <c r="I104" t="s">
        <v>30</v>
      </c>
      <c r="J104" t="s">
        <v>60</v>
      </c>
      <c r="K104" t="s">
        <v>61</v>
      </c>
      <c r="N104" t="s">
        <v>122</v>
      </c>
      <c r="O104" t="s">
        <v>119</v>
      </c>
      <c r="P104" t="s">
        <v>120</v>
      </c>
      <c r="Q104" t="s">
        <v>121</v>
      </c>
      <c r="R104">
        <v>99999</v>
      </c>
      <c r="S104" t="s">
        <v>30</v>
      </c>
      <c r="U104" t="s">
        <v>55</v>
      </c>
      <c r="V104" t="s">
        <v>37</v>
      </c>
      <c r="W104">
        <v>46</v>
      </c>
      <c r="X104">
        <v>77</v>
      </c>
      <c r="Y104">
        <v>3542</v>
      </c>
      <c r="Z104">
        <v>368.36800000000005</v>
      </c>
    </row>
    <row r="105" spans="1:26" x14ac:dyDescent="0.35">
      <c r="A105">
        <v>1113</v>
      </c>
      <c r="B105">
        <v>41760</v>
      </c>
      <c r="C105">
        <v>1</v>
      </c>
      <c r="D105" t="s">
        <v>118</v>
      </c>
      <c r="E105" t="s">
        <v>119</v>
      </c>
      <c r="F105" t="s">
        <v>120</v>
      </c>
      <c r="G105" t="s">
        <v>121</v>
      </c>
      <c r="H105">
        <v>99999</v>
      </c>
      <c r="I105" t="s">
        <v>30</v>
      </c>
      <c r="J105" t="s">
        <v>60</v>
      </c>
      <c r="K105" t="s">
        <v>61</v>
      </c>
      <c r="N105" t="s">
        <v>122</v>
      </c>
      <c r="O105" t="s">
        <v>119</v>
      </c>
      <c r="P105" t="s">
        <v>120</v>
      </c>
      <c r="Q105" t="s">
        <v>121</v>
      </c>
      <c r="R105">
        <v>99999</v>
      </c>
      <c r="S105" t="s">
        <v>30</v>
      </c>
      <c r="U105" t="s">
        <v>103</v>
      </c>
      <c r="V105" t="s">
        <v>37</v>
      </c>
      <c r="W105">
        <v>2.99</v>
      </c>
      <c r="X105">
        <v>73</v>
      </c>
      <c r="Y105">
        <v>218.27</v>
      </c>
      <c r="Z105">
        <v>21.827000000000002</v>
      </c>
    </row>
    <row r="106" spans="1:26" x14ac:dyDescent="0.35">
      <c r="A106">
        <v>1114</v>
      </c>
      <c r="B106">
        <v>41787</v>
      </c>
      <c r="C106">
        <v>28</v>
      </c>
      <c r="D106" t="s">
        <v>90</v>
      </c>
      <c r="E106" t="s">
        <v>91</v>
      </c>
      <c r="F106" t="s">
        <v>92</v>
      </c>
      <c r="G106" t="s">
        <v>93</v>
      </c>
      <c r="H106">
        <v>99999</v>
      </c>
      <c r="I106" t="s">
        <v>30</v>
      </c>
      <c r="J106" t="s">
        <v>94</v>
      </c>
      <c r="K106" t="s">
        <v>95</v>
      </c>
      <c r="L106">
        <v>41789</v>
      </c>
      <c r="M106" t="s">
        <v>62</v>
      </c>
      <c r="N106" t="s">
        <v>96</v>
      </c>
      <c r="O106" t="s">
        <v>91</v>
      </c>
      <c r="P106" t="s">
        <v>92</v>
      </c>
      <c r="Q106" t="s">
        <v>93</v>
      </c>
      <c r="R106">
        <v>99999</v>
      </c>
      <c r="S106" t="s">
        <v>30</v>
      </c>
      <c r="T106" t="s">
        <v>48</v>
      </c>
      <c r="U106" t="s">
        <v>80</v>
      </c>
      <c r="V106" t="s">
        <v>81</v>
      </c>
      <c r="W106">
        <v>9.65</v>
      </c>
      <c r="X106">
        <v>74</v>
      </c>
      <c r="Y106">
        <v>714.1</v>
      </c>
      <c r="Z106">
        <v>67.839500000000001</v>
      </c>
    </row>
    <row r="107" spans="1:26" x14ac:dyDescent="0.35">
      <c r="A107">
        <v>1115</v>
      </c>
      <c r="B107">
        <v>41787</v>
      </c>
      <c r="C107">
        <v>28</v>
      </c>
      <c r="D107" t="s">
        <v>90</v>
      </c>
      <c r="E107" t="s">
        <v>91</v>
      </c>
      <c r="F107" t="s">
        <v>92</v>
      </c>
      <c r="G107" t="s">
        <v>93</v>
      </c>
      <c r="H107">
        <v>99999</v>
      </c>
      <c r="I107" t="s">
        <v>30</v>
      </c>
      <c r="J107" t="s">
        <v>94</v>
      </c>
      <c r="K107" t="s">
        <v>95</v>
      </c>
      <c r="L107">
        <v>41789</v>
      </c>
      <c r="M107" t="s">
        <v>62</v>
      </c>
      <c r="N107" t="s">
        <v>96</v>
      </c>
      <c r="O107" t="s">
        <v>91</v>
      </c>
      <c r="P107" t="s">
        <v>92</v>
      </c>
      <c r="Q107" t="s">
        <v>93</v>
      </c>
      <c r="R107">
        <v>99999</v>
      </c>
      <c r="S107" t="s">
        <v>30</v>
      </c>
      <c r="T107" t="s">
        <v>48</v>
      </c>
      <c r="U107" t="s">
        <v>123</v>
      </c>
      <c r="V107" t="s">
        <v>124</v>
      </c>
      <c r="W107">
        <v>18.399999999999999</v>
      </c>
      <c r="X107">
        <v>25</v>
      </c>
      <c r="Y107">
        <v>459.99999999999994</v>
      </c>
      <c r="Z107">
        <v>46.46</v>
      </c>
    </row>
    <row r="108" spans="1:26" x14ac:dyDescent="0.35">
      <c r="A108">
        <v>1116</v>
      </c>
      <c r="B108">
        <v>41768</v>
      </c>
      <c r="C108">
        <v>9</v>
      </c>
      <c r="D108" t="s">
        <v>125</v>
      </c>
      <c r="E108" t="s">
        <v>126</v>
      </c>
      <c r="F108" t="s">
        <v>127</v>
      </c>
      <c r="G108" t="s">
        <v>128</v>
      </c>
      <c r="H108">
        <v>99999</v>
      </c>
      <c r="I108" t="s">
        <v>30</v>
      </c>
      <c r="J108" t="s">
        <v>129</v>
      </c>
      <c r="K108" t="s">
        <v>32</v>
      </c>
      <c r="L108">
        <v>41770</v>
      </c>
      <c r="M108" t="s">
        <v>46</v>
      </c>
      <c r="N108" t="s">
        <v>130</v>
      </c>
      <c r="O108" t="s">
        <v>126</v>
      </c>
      <c r="P108" t="s">
        <v>127</v>
      </c>
      <c r="Q108" t="s">
        <v>128</v>
      </c>
      <c r="R108">
        <v>99999</v>
      </c>
      <c r="S108" t="s">
        <v>30</v>
      </c>
      <c r="T108" t="s">
        <v>35</v>
      </c>
      <c r="U108" t="s">
        <v>131</v>
      </c>
      <c r="V108" t="s">
        <v>132</v>
      </c>
      <c r="W108">
        <v>19.5</v>
      </c>
      <c r="X108">
        <v>82</v>
      </c>
      <c r="Y108">
        <v>1599</v>
      </c>
      <c r="Z108">
        <v>153.50399999999999</v>
      </c>
    </row>
    <row r="109" spans="1:26" x14ac:dyDescent="0.35">
      <c r="A109">
        <v>1117</v>
      </c>
      <c r="B109">
        <v>41768</v>
      </c>
      <c r="C109">
        <v>9</v>
      </c>
      <c r="D109" t="s">
        <v>125</v>
      </c>
      <c r="E109" t="s">
        <v>126</v>
      </c>
      <c r="F109" t="s">
        <v>127</v>
      </c>
      <c r="G109" t="s">
        <v>128</v>
      </c>
      <c r="H109">
        <v>99999</v>
      </c>
      <c r="I109" t="s">
        <v>30</v>
      </c>
      <c r="J109" t="s">
        <v>129</v>
      </c>
      <c r="K109" t="s">
        <v>32</v>
      </c>
      <c r="L109">
        <v>41770</v>
      </c>
      <c r="M109" t="s">
        <v>46</v>
      </c>
      <c r="N109" t="s">
        <v>130</v>
      </c>
      <c r="O109" t="s">
        <v>126</v>
      </c>
      <c r="P109" t="s">
        <v>127</v>
      </c>
      <c r="Q109" t="s">
        <v>128</v>
      </c>
      <c r="R109">
        <v>99999</v>
      </c>
      <c r="S109" t="s">
        <v>30</v>
      </c>
      <c r="T109" t="s">
        <v>35</v>
      </c>
      <c r="U109" t="s">
        <v>133</v>
      </c>
      <c r="V109" t="s">
        <v>134</v>
      </c>
      <c r="W109">
        <v>34.799999999999997</v>
      </c>
      <c r="X109">
        <v>37</v>
      </c>
      <c r="Y109">
        <v>1287.5999999999999</v>
      </c>
      <c r="Z109">
        <v>132.62279999999998</v>
      </c>
    </row>
    <row r="110" spans="1:26" x14ac:dyDescent="0.35">
      <c r="A110">
        <v>1118</v>
      </c>
      <c r="B110">
        <v>41765</v>
      </c>
      <c r="C110">
        <v>6</v>
      </c>
      <c r="D110" t="s">
        <v>82</v>
      </c>
      <c r="E110" t="s">
        <v>83</v>
      </c>
      <c r="F110" t="s">
        <v>84</v>
      </c>
      <c r="G110" t="s">
        <v>85</v>
      </c>
      <c r="H110">
        <v>99999</v>
      </c>
      <c r="I110" t="s">
        <v>30</v>
      </c>
      <c r="J110" t="s">
        <v>86</v>
      </c>
      <c r="K110" t="s">
        <v>61</v>
      </c>
      <c r="L110">
        <v>41767</v>
      </c>
      <c r="M110" t="s">
        <v>33</v>
      </c>
      <c r="N110" t="s">
        <v>87</v>
      </c>
      <c r="O110" t="s">
        <v>83</v>
      </c>
      <c r="P110" t="s">
        <v>84</v>
      </c>
      <c r="Q110" t="s">
        <v>85</v>
      </c>
      <c r="R110">
        <v>99999</v>
      </c>
      <c r="S110" t="s">
        <v>30</v>
      </c>
      <c r="T110" t="s">
        <v>48</v>
      </c>
      <c r="U110" t="s">
        <v>36</v>
      </c>
      <c r="V110" t="s">
        <v>37</v>
      </c>
      <c r="W110">
        <v>14</v>
      </c>
      <c r="X110">
        <v>84</v>
      </c>
      <c r="Y110">
        <v>1176</v>
      </c>
      <c r="Z110">
        <v>112.896</v>
      </c>
    </row>
    <row r="111" spans="1:26" x14ac:dyDescent="0.35">
      <c r="A111">
        <v>1119</v>
      </c>
      <c r="B111">
        <v>41767</v>
      </c>
      <c r="C111">
        <v>8</v>
      </c>
      <c r="D111" t="s">
        <v>56</v>
      </c>
      <c r="E111" t="s">
        <v>57</v>
      </c>
      <c r="F111" t="s">
        <v>58</v>
      </c>
      <c r="G111" t="s">
        <v>59</v>
      </c>
      <c r="H111">
        <v>99999</v>
      </c>
      <c r="I111" t="s">
        <v>30</v>
      </c>
      <c r="J111" t="s">
        <v>60</v>
      </c>
      <c r="K111" t="s">
        <v>61</v>
      </c>
      <c r="L111">
        <v>41769</v>
      </c>
      <c r="M111" t="s">
        <v>33</v>
      </c>
      <c r="N111" t="s">
        <v>63</v>
      </c>
      <c r="O111" t="s">
        <v>57</v>
      </c>
      <c r="P111" t="s">
        <v>58</v>
      </c>
      <c r="Q111" t="s">
        <v>59</v>
      </c>
      <c r="R111">
        <v>99999</v>
      </c>
      <c r="S111" t="s">
        <v>30</v>
      </c>
      <c r="T111" t="s">
        <v>35</v>
      </c>
      <c r="U111" t="s">
        <v>88</v>
      </c>
      <c r="V111" t="s">
        <v>89</v>
      </c>
      <c r="W111">
        <v>40</v>
      </c>
      <c r="X111">
        <v>73</v>
      </c>
      <c r="Y111">
        <v>2920</v>
      </c>
      <c r="Z111">
        <v>283.24</v>
      </c>
    </row>
    <row r="112" spans="1:26" x14ac:dyDescent="0.35">
      <c r="A112">
        <v>1120</v>
      </c>
      <c r="B112">
        <v>41767</v>
      </c>
      <c r="C112">
        <v>8</v>
      </c>
      <c r="D112" t="s">
        <v>56</v>
      </c>
      <c r="E112" t="s">
        <v>57</v>
      </c>
      <c r="F112" t="s">
        <v>58</v>
      </c>
      <c r="G112" t="s">
        <v>59</v>
      </c>
      <c r="H112">
        <v>99999</v>
      </c>
      <c r="I112" t="s">
        <v>30</v>
      </c>
      <c r="J112" t="s">
        <v>60</v>
      </c>
      <c r="K112" t="s">
        <v>61</v>
      </c>
      <c r="L112">
        <v>41769</v>
      </c>
      <c r="M112" t="s">
        <v>33</v>
      </c>
      <c r="N112" t="s">
        <v>63</v>
      </c>
      <c r="O112" t="s">
        <v>57</v>
      </c>
      <c r="P112" t="s">
        <v>58</v>
      </c>
      <c r="Q112" t="s">
        <v>59</v>
      </c>
      <c r="R112">
        <v>99999</v>
      </c>
      <c r="S112" t="s">
        <v>30</v>
      </c>
      <c r="T112" t="s">
        <v>35</v>
      </c>
      <c r="U112" t="s">
        <v>64</v>
      </c>
      <c r="V112" t="s">
        <v>65</v>
      </c>
      <c r="W112">
        <v>9.1999999999999993</v>
      </c>
      <c r="X112">
        <v>51</v>
      </c>
      <c r="Y112">
        <v>469.2</v>
      </c>
      <c r="Z112">
        <v>44.573999999999998</v>
      </c>
    </row>
    <row r="113" spans="1:26" x14ac:dyDescent="0.35">
      <c r="A113">
        <v>1121</v>
      </c>
      <c r="B113">
        <v>41784</v>
      </c>
      <c r="C113">
        <v>25</v>
      </c>
      <c r="D113" t="s">
        <v>137</v>
      </c>
      <c r="E113" t="s">
        <v>138</v>
      </c>
      <c r="F113" t="s">
        <v>99</v>
      </c>
      <c r="G113" t="s">
        <v>100</v>
      </c>
      <c r="H113">
        <v>99999</v>
      </c>
      <c r="I113" t="s">
        <v>30</v>
      </c>
      <c r="J113" t="s">
        <v>101</v>
      </c>
      <c r="K113" t="s">
        <v>45</v>
      </c>
      <c r="L113">
        <v>41786</v>
      </c>
      <c r="M113" t="s">
        <v>46</v>
      </c>
      <c r="N113" t="s">
        <v>139</v>
      </c>
      <c r="O113" t="s">
        <v>138</v>
      </c>
      <c r="P113" t="s">
        <v>99</v>
      </c>
      <c r="Q113" t="s">
        <v>100</v>
      </c>
      <c r="R113">
        <v>99999</v>
      </c>
      <c r="S113" t="s">
        <v>30</v>
      </c>
      <c r="T113" t="s">
        <v>79</v>
      </c>
      <c r="U113" t="s">
        <v>146</v>
      </c>
      <c r="V113" t="s">
        <v>65</v>
      </c>
      <c r="W113">
        <v>10</v>
      </c>
      <c r="X113">
        <v>66</v>
      </c>
      <c r="Y113">
        <v>660</v>
      </c>
      <c r="Z113">
        <v>68.64</v>
      </c>
    </row>
    <row r="114" spans="1:26" x14ac:dyDescent="0.35">
      <c r="A114">
        <v>1122</v>
      </c>
      <c r="B114">
        <v>41785</v>
      </c>
      <c r="C114">
        <v>26</v>
      </c>
      <c r="D114" t="s">
        <v>140</v>
      </c>
      <c r="E114" t="s">
        <v>141</v>
      </c>
      <c r="F114" t="s">
        <v>115</v>
      </c>
      <c r="G114" t="s">
        <v>116</v>
      </c>
      <c r="H114">
        <v>99999</v>
      </c>
      <c r="I114" t="s">
        <v>30</v>
      </c>
      <c r="J114" t="s">
        <v>94</v>
      </c>
      <c r="K114" t="s">
        <v>95</v>
      </c>
      <c r="L114">
        <v>41787</v>
      </c>
      <c r="M114" t="s">
        <v>62</v>
      </c>
      <c r="N114" t="s">
        <v>142</v>
      </c>
      <c r="O114" t="s">
        <v>141</v>
      </c>
      <c r="P114" t="s">
        <v>115</v>
      </c>
      <c r="Q114" t="s">
        <v>116</v>
      </c>
      <c r="R114">
        <v>99999</v>
      </c>
      <c r="S114" t="s">
        <v>30</v>
      </c>
      <c r="T114" t="s">
        <v>48</v>
      </c>
      <c r="U114" t="s">
        <v>147</v>
      </c>
      <c r="V114" t="s">
        <v>148</v>
      </c>
      <c r="W114">
        <v>21.35</v>
      </c>
      <c r="X114">
        <v>36</v>
      </c>
      <c r="Y114">
        <v>768.6</v>
      </c>
      <c r="Z114">
        <v>74.554200000000009</v>
      </c>
    </row>
    <row r="115" spans="1:26" x14ac:dyDescent="0.35">
      <c r="A115">
        <v>1123</v>
      </c>
      <c r="B115">
        <v>41785</v>
      </c>
      <c r="C115">
        <v>26</v>
      </c>
      <c r="D115" t="s">
        <v>140</v>
      </c>
      <c r="E115" t="s">
        <v>141</v>
      </c>
      <c r="F115" t="s">
        <v>115</v>
      </c>
      <c r="G115" t="s">
        <v>116</v>
      </c>
      <c r="H115">
        <v>99999</v>
      </c>
      <c r="I115" t="s">
        <v>30</v>
      </c>
      <c r="J115" t="s">
        <v>94</v>
      </c>
      <c r="K115" t="s">
        <v>95</v>
      </c>
      <c r="L115">
        <v>41787</v>
      </c>
      <c r="M115" t="s">
        <v>62</v>
      </c>
      <c r="N115" t="s">
        <v>142</v>
      </c>
      <c r="O115" t="s">
        <v>141</v>
      </c>
      <c r="P115" t="s">
        <v>115</v>
      </c>
      <c r="Q115" t="s">
        <v>116</v>
      </c>
      <c r="R115">
        <v>99999</v>
      </c>
      <c r="S115" t="s">
        <v>30</v>
      </c>
      <c r="T115" t="s">
        <v>48</v>
      </c>
      <c r="U115" t="s">
        <v>80</v>
      </c>
      <c r="V115" t="s">
        <v>81</v>
      </c>
      <c r="W115">
        <v>9.65</v>
      </c>
      <c r="X115">
        <v>87</v>
      </c>
      <c r="Y115">
        <v>839.55000000000007</v>
      </c>
      <c r="Z115">
        <v>87.313200000000009</v>
      </c>
    </row>
    <row r="116" spans="1:26" x14ac:dyDescent="0.35">
      <c r="A116">
        <v>1124</v>
      </c>
      <c r="B116">
        <v>41785</v>
      </c>
      <c r="C116">
        <v>26</v>
      </c>
      <c r="D116" t="s">
        <v>140</v>
      </c>
      <c r="E116" t="s">
        <v>141</v>
      </c>
      <c r="F116" t="s">
        <v>115</v>
      </c>
      <c r="G116" t="s">
        <v>116</v>
      </c>
      <c r="H116">
        <v>99999</v>
      </c>
      <c r="I116" t="s">
        <v>30</v>
      </c>
      <c r="J116" t="s">
        <v>94</v>
      </c>
      <c r="K116" t="s">
        <v>95</v>
      </c>
      <c r="L116">
        <v>41787</v>
      </c>
      <c r="M116" t="s">
        <v>62</v>
      </c>
      <c r="N116" t="s">
        <v>142</v>
      </c>
      <c r="O116" t="s">
        <v>141</v>
      </c>
      <c r="P116" t="s">
        <v>115</v>
      </c>
      <c r="Q116" t="s">
        <v>116</v>
      </c>
      <c r="R116">
        <v>99999</v>
      </c>
      <c r="S116" t="s">
        <v>30</v>
      </c>
      <c r="T116" t="s">
        <v>48</v>
      </c>
      <c r="U116" t="s">
        <v>123</v>
      </c>
      <c r="V116" t="s">
        <v>124</v>
      </c>
      <c r="W116">
        <v>18.399999999999999</v>
      </c>
      <c r="X116">
        <v>64</v>
      </c>
      <c r="Y116">
        <v>1177.5999999999999</v>
      </c>
      <c r="Z116">
        <v>115.40479999999999</v>
      </c>
    </row>
    <row r="117" spans="1:26" x14ac:dyDescent="0.35">
      <c r="A117">
        <v>1125</v>
      </c>
      <c r="B117">
        <v>41788</v>
      </c>
      <c r="C117">
        <v>29</v>
      </c>
      <c r="D117" t="s">
        <v>66</v>
      </c>
      <c r="E117" t="s">
        <v>67</v>
      </c>
      <c r="F117" t="s">
        <v>68</v>
      </c>
      <c r="G117" t="s">
        <v>69</v>
      </c>
      <c r="H117">
        <v>99999</v>
      </c>
      <c r="I117" t="s">
        <v>30</v>
      </c>
      <c r="J117" t="s">
        <v>70</v>
      </c>
      <c r="K117" t="s">
        <v>32</v>
      </c>
      <c r="L117">
        <v>41790</v>
      </c>
      <c r="M117" t="s">
        <v>33</v>
      </c>
      <c r="N117" t="s">
        <v>71</v>
      </c>
      <c r="O117" t="s">
        <v>67</v>
      </c>
      <c r="P117" t="s">
        <v>68</v>
      </c>
      <c r="Q117" t="s">
        <v>69</v>
      </c>
      <c r="R117">
        <v>99999</v>
      </c>
      <c r="S117" t="s">
        <v>30</v>
      </c>
      <c r="T117" t="s">
        <v>35</v>
      </c>
      <c r="U117" t="s">
        <v>36</v>
      </c>
      <c r="V117" t="s">
        <v>37</v>
      </c>
      <c r="W117">
        <v>14</v>
      </c>
      <c r="X117">
        <v>21</v>
      </c>
      <c r="Y117">
        <v>294</v>
      </c>
      <c r="Z117">
        <v>30.870000000000005</v>
      </c>
    </row>
    <row r="118" spans="1:26" x14ac:dyDescent="0.35">
      <c r="A118">
        <v>1126</v>
      </c>
      <c r="B118">
        <v>41765</v>
      </c>
      <c r="C118">
        <v>6</v>
      </c>
      <c r="D118" t="s">
        <v>82</v>
      </c>
      <c r="E118" t="s">
        <v>83</v>
      </c>
      <c r="F118" t="s">
        <v>84</v>
      </c>
      <c r="G118" t="s">
        <v>85</v>
      </c>
      <c r="H118">
        <v>99999</v>
      </c>
      <c r="I118" t="s">
        <v>30</v>
      </c>
      <c r="J118" t="s">
        <v>86</v>
      </c>
      <c r="K118" t="s">
        <v>61</v>
      </c>
      <c r="L118">
        <v>41767</v>
      </c>
      <c r="M118" t="s">
        <v>62</v>
      </c>
      <c r="N118" t="s">
        <v>87</v>
      </c>
      <c r="O118" t="s">
        <v>83</v>
      </c>
      <c r="P118" t="s">
        <v>84</v>
      </c>
      <c r="Q118" t="s">
        <v>85</v>
      </c>
      <c r="R118">
        <v>99999</v>
      </c>
      <c r="S118" t="s">
        <v>30</v>
      </c>
      <c r="T118" t="s">
        <v>35</v>
      </c>
      <c r="U118" t="s">
        <v>72</v>
      </c>
      <c r="V118" t="s">
        <v>73</v>
      </c>
      <c r="W118">
        <v>12.75</v>
      </c>
      <c r="X118">
        <v>19</v>
      </c>
      <c r="Y118">
        <v>242.25</v>
      </c>
      <c r="Z118">
        <v>24.46725</v>
      </c>
    </row>
    <row r="119" spans="1:26" x14ac:dyDescent="0.35">
      <c r="A119">
        <v>1128</v>
      </c>
      <c r="B119">
        <v>41763</v>
      </c>
      <c r="C119">
        <v>4</v>
      </c>
      <c r="D119" t="s">
        <v>40</v>
      </c>
      <c r="E119" t="s">
        <v>41</v>
      </c>
      <c r="F119" t="s">
        <v>42</v>
      </c>
      <c r="G119" t="s">
        <v>43</v>
      </c>
      <c r="H119">
        <v>99999</v>
      </c>
      <c r="I119" t="s">
        <v>30</v>
      </c>
      <c r="J119" t="s">
        <v>44</v>
      </c>
      <c r="K119" t="s">
        <v>45</v>
      </c>
      <c r="L119">
        <v>41765</v>
      </c>
      <c r="M119" t="s">
        <v>46</v>
      </c>
      <c r="N119" t="s">
        <v>47</v>
      </c>
      <c r="O119" t="s">
        <v>41</v>
      </c>
      <c r="P119" t="s">
        <v>42</v>
      </c>
      <c r="Q119" t="s">
        <v>43</v>
      </c>
      <c r="R119">
        <v>99999</v>
      </c>
      <c r="S119" t="s">
        <v>30</v>
      </c>
      <c r="T119" t="s">
        <v>48</v>
      </c>
      <c r="U119" t="s">
        <v>149</v>
      </c>
      <c r="V119" t="s">
        <v>110</v>
      </c>
      <c r="W119">
        <v>81</v>
      </c>
      <c r="X119">
        <v>23</v>
      </c>
      <c r="Y119">
        <v>1863</v>
      </c>
      <c r="Z119">
        <v>195.61500000000001</v>
      </c>
    </row>
    <row r="120" spans="1:26" x14ac:dyDescent="0.35">
      <c r="A120">
        <v>1129</v>
      </c>
      <c r="B120">
        <v>41763</v>
      </c>
      <c r="C120">
        <v>4</v>
      </c>
      <c r="D120" t="s">
        <v>40</v>
      </c>
      <c r="E120" t="s">
        <v>41</v>
      </c>
      <c r="F120" t="s">
        <v>42</v>
      </c>
      <c r="G120" t="s">
        <v>43</v>
      </c>
      <c r="H120">
        <v>99999</v>
      </c>
      <c r="I120" t="s">
        <v>30</v>
      </c>
      <c r="J120" t="s">
        <v>44</v>
      </c>
      <c r="K120" t="s">
        <v>45</v>
      </c>
      <c r="L120">
        <v>41765</v>
      </c>
      <c r="M120" t="s">
        <v>46</v>
      </c>
      <c r="N120" t="s">
        <v>47</v>
      </c>
      <c r="O120" t="s">
        <v>41</v>
      </c>
      <c r="P120" t="s">
        <v>42</v>
      </c>
      <c r="Q120" t="s">
        <v>43</v>
      </c>
      <c r="R120">
        <v>99999</v>
      </c>
      <c r="S120" t="s">
        <v>30</v>
      </c>
      <c r="T120" t="s">
        <v>48</v>
      </c>
      <c r="U120" t="s">
        <v>150</v>
      </c>
      <c r="V120" t="s">
        <v>151</v>
      </c>
      <c r="W120">
        <v>7</v>
      </c>
      <c r="X120">
        <v>72</v>
      </c>
      <c r="Y120">
        <v>504</v>
      </c>
      <c r="Z120">
        <v>51.912000000000006</v>
      </c>
    </row>
    <row r="121" spans="1:26" x14ac:dyDescent="0.35">
      <c r="A121">
        <v>1131</v>
      </c>
      <c r="B121">
        <v>41767</v>
      </c>
      <c r="C121">
        <v>8</v>
      </c>
      <c r="D121" t="s">
        <v>56</v>
      </c>
      <c r="E121" t="s">
        <v>57</v>
      </c>
      <c r="F121" t="s">
        <v>58</v>
      </c>
      <c r="G121" t="s">
        <v>59</v>
      </c>
      <c r="H121">
        <v>99999</v>
      </c>
      <c r="I121" t="s">
        <v>30</v>
      </c>
      <c r="J121" t="s">
        <v>60</v>
      </c>
      <c r="K121" t="s">
        <v>61</v>
      </c>
      <c r="L121">
        <v>41769</v>
      </c>
      <c r="M121" t="s">
        <v>62</v>
      </c>
      <c r="N121" t="s">
        <v>63</v>
      </c>
      <c r="O121" t="s">
        <v>57</v>
      </c>
      <c r="P121" t="s">
        <v>58</v>
      </c>
      <c r="Q121" t="s">
        <v>59</v>
      </c>
      <c r="R121">
        <v>99999</v>
      </c>
      <c r="S121" t="s">
        <v>30</v>
      </c>
      <c r="T121" t="s">
        <v>48</v>
      </c>
      <c r="U121" t="s">
        <v>133</v>
      </c>
      <c r="V121" t="s">
        <v>134</v>
      </c>
      <c r="W121">
        <v>34.799999999999997</v>
      </c>
      <c r="X121">
        <v>22</v>
      </c>
      <c r="Y121">
        <v>765.59999999999991</v>
      </c>
      <c r="Z121">
        <v>75.02879999999999</v>
      </c>
    </row>
    <row r="122" spans="1:26" x14ac:dyDescent="0.35">
      <c r="A122">
        <v>1134</v>
      </c>
      <c r="B122">
        <v>41762</v>
      </c>
      <c r="C122">
        <v>3</v>
      </c>
      <c r="D122" t="s">
        <v>74</v>
      </c>
      <c r="E122" t="s">
        <v>75</v>
      </c>
      <c r="F122" t="s">
        <v>76</v>
      </c>
      <c r="G122" t="s">
        <v>77</v>
      </c>
      <c r="H122">
        <v>99999</v>
      </c>
      <c r="I122" t="s">
        <v>30</v>
      </c>
      <c r="J122" t="s">
        <v>31</v>
      </c>
      <c r="K122" t="s">
        <v>32</v>
      </c>
      <c r="L122">
        <v>41764</v>
      </c>
      <c r="M122" t="s">
        <v>33</v>
      </c>
      <c r="N122" t="s">
        <v>78</v>
      </c>
      <c r="O122" t="s">
        <v>75</v>
      </c>
      <c r="P122" t="s">
        <v>76</v>
      </c>
      <c r="Q122" t="s">
        <v>77</v>
      </c>
      <c r="R122">
        <v>99999</v>
      </c>
      <c r="S122" t="s">
        <v>30</v>
      </c>
      <c r="T122" t="s">
        <v>79</v>
      </c>
      <c r="U122" t="s">
        <v>135</v>
      </c>
      <c r="V122" t="s">
        <v>112</v>
      </c>
      <c r="W122">
        <v>10</v>
      </c>
      <c r="X122">
        <v>82</v>
      </c>
      <c r="Y122">
        <v>820</v>
      </c>
      <c r="Z122">
        <v>85.28</v>
      </c>
    </row>
    <row r="123" spans="1:26" x14ac:dyDescent="0.35">
      <c r="A123">
        <v>1135</v>
      </c>
      <c r="B123">
        <v>41762</v>
      </c>
      <c r="C123">
        <v>3</v>
      </c>
      <c r="D123" t="s">
        <v>74</v>
      </c>
      <c r="E123" t="s">
        <v>75</v>
      </c>
      <c r="F123" t="s">
        <v>76</v>
      </c>
      <c r="G123" t="s">
        <v>77</v>
      </c>
      <c r="H123">
        <v>99999</v>
      </c>
      <c r="I123" t="s">
        <v>30</v>
      </c>
      <c r="J123" t="s">
        <v>31</v>
      </c>
      <c r="K123" t="s">
        <v>32</v>
      </c>
      <c r="L123">
        <v>41764</v>
      </c>
      <c r="M123" t="s">
        <v>33</v>
      </c>
      <c r="N123" t="s">
        <v>78</v>
      </c>
      <c r="O123" t="s">
        <v>75</v>
      </c>
      <c r="P123" t="s">
        <v>76</v>
      </c>
      <c r="Q123" t="s">
        <v>77</v>
      </c>
      <c r="R123">
        <v>99999</v>
      </c>
      <c r="S123" t="s">
        <v>30</v>
      </c>
      <c r="T123" t="s">
        <v>79</v>
      </c>
      <c r="U123" t="s">
        <v>88</v>
      </c>
      <c r="V123" t="s">
        <v>89</v>
      </c>
      <c r="W123">
        <v>40</v>
      </c>
      <c r="X123">
        <v>98</v>
      </c>
      <c r="Y123">
        <v>3920</v>
      </c>
      <c r="Z123">
        <v>411.6</v>
      </c>
    </row>
    <row r="124" spans="1:26" x14ac:dyDescent="0.35">
      <c r="A124">
        <v>1138</v>
      </c>
      <c r="B124">
        <v>41797</v>
      </c>
      <c r="C124">
        <v>7</v>
      </c>
      <c r="D124" t="s">
        <v>104</v>
      </c>
      <c r="E124" t="s">
        <v>105</v>
      </c>
      <c r="F124" t="s">
        <v>106</v>
      </c>
      <c r="G124" t="s">
        <v>107</v>
      </c>
      <c r="H124">
        <v>99999</v>
      </c>
      <c r="I124" t="s">
        <v>30</v>
      </c>
      <c r="J124" t="s">
        <v>60</v>
      </c>
      <c r="K124" t="s">
        <v>61</v>
      </c>
      <c r="N124" t="s">
        <v>108</v>
      </c>
      <c r="O124" t="s">
        <v>105</v>
      </c>
      <c r="P124" t="s">
        <v>106</v>
      </c>
      <c r="Q124" t="s">
        <v>107</v>
      </c>
      <c r="R124">
        <v>99999</v>
      </c>
      <c r="S124" t="s">
        <v>30</v>
      </c>
      <c r="U124" t="s">
        <v>55</v>
      </c>
      <c r="V124" t="s">
        <v>37</v>
      </c>
      <c r="W124">
        <v>46</v>
      </c>
      <c r="X124">
        <v>71</v>
      </c>
      <c r="Y124">
        <v>3266</v>
      </c>
      <c r="Z124">
        <v>310.27</v>
      </c>
    </row>
    <row r="125" spans="1:26" x14ac:dyDescent="0.35">
      <c r="A125">
        <v>1139</v>
      </c>
      <c r="B125">
        <v>41800</v>
      </c>
      <c r="C125">
        <v>10</v>
      </c>
      <c r="D125" t="s">
        <v>97</v>
      </c>
      <c r="E125" t="s">
        <v>98</v>
      </c>
      <c r="F125" t="s">
        <v>99</v>
      </c>
      <c r="G125" t="s">
        <v>100</v>
      </c>
      <c r="H125">
        <v>99999</v>
      </c>
      <c r="I125" t="s">
        <v>30</v>
      </c>
      <c r="J125" t="s">
        <v>101</v>
      </c>
      <c r="K125" t="s">
        <v>45</v>
      </c>
      <c r="L125">
        <v>41802</v>
      </c>
      <c r="M125" t="s">
        <v>46</v>
      </c>
      <c r="N125" t="s">
        <v>102</v>
      </c>
      <c r="O125" t="s">
        <v>98</v>
      </c>
      <c r="P125" t="s">
        <v>99</v>
      </c>
      <c r="Q125" t="s">
        <v>100</v>
      </c>
      <c r="R125">
        <v>99999</v>
      </c>
      <c r="S125" t="s">
        <v>30</v>
      </c>
      <c r="U125" t="s">
        <v>109</v>
      </c>
      <c r="V125" t="s">
        <v>110</v>
      </c>
      <c r="W125">
        <v>25</v>
      </c>
      <c r="X125">
        <v>40</v>
      </c>
      <c r="Y125">
        <v>1000</v>
      </c>
      <c r="Z125">
        <v>105</v>
      </c>
    </row>
    <row r="126" spans="1:26" x14ac:dyDescent="0.35">
      <c r="A126">
        <v>1140</v>
      </c>
      <c r="B126">
        <v>41800</v>
      </c>
      <c r="C126">
        <v>10</v>
      </c>
      <c r="D126" t="s">
        <v>97</v>
      </c>
      <c r="E126" t="s">
        <v>98</v>
      </c>
      <c r="F126" t="s">
        <v>99</v>
      </c>
      <c r="G126" t="s">
        <v>100</v>
      </c>
      <c r="H126">
        <v>99999</v>
      </c>
      <c r="I126" t="s">
        <v>30</v>
      </c>
      <c r="J126" t="s">
        <v>101</v>
      </c>
      <c r="K126" t="s">
        <v>45</v>
      </c>
      <c r="L126">
        <v>41802</v>
      </c>
      <c r="M126" t="s">
        <v>46</v>
      </c>
      <c r="N126" t="s">
        <v>102</v>
      </c>
      <c r="O126" t="s">
        <v>98</v>
      </c>
      <c r="P126" t="s">
        <v>99</v>
      </c>
      <c r="Q126" t="s">
        <v>100</v>
      </c>
      <c r="R126">
        <v>99999</v>
      </c>
      <c r="S126" t="s">
        <v>30</v>
      </c>
      <c r="U126" t="s">
        <v>111</v>
      </c>
      <c r="V126" t="s">
        <v>112</v>
      </c>
      <c r="W126">
        <v>22</v>
      </c>
      <c r="X126">
        <v>80</v>
      </c>
      <c r="Y126">
        <v>1760</v>
      </c>
      <c r="Z126">
        <v>172.48</v>
      </c>
    </row>
    <row r="127" spans="1:26" x14ac:dyDescent="0.35">
      <c r="A127">
        <v>1141</v>
      </c>
      <c r="B127">
        <v>41800</v>
      </c>
      <c r="C127">
        <v>10</v>
      </c>
      <c r="D127" t="s">
        <v>97</v>
      </c>
      <c r="E127" t="s">
        <v>98</v>
      </c>
      <c r="F127" t="s">
        <v>99</v>
      </c>
      <c r="G127" t="s">
        <v>100</v>
      </c>
      <c r="H127">
        <v>99999</v>
      </c>
      <c r="I127" t="s">
        <v>30</v>
      </c>
      <c r="J127" t="s">
        <v>101</v>
      </c>
      <c r="K127" t="s">
        <v>45</v>
      </c>
      <c r="L127">
        <v>41802</v>
      </c>
      <c r="M127" t="s">
        <v>46</v>
      </c>
      <c r="N127" t="s">
        <v>102</v>
      </c>
      <c r="O127" t="s">
        <v>98</v>
      </c>
      <c r="P127" t="s">
        <v>99</v>
      </c>
      <c r="Q127" t="s">
        <v>100</v>
      </c>
      <c r="R127">
        <v>99999</v>
      </c>
      <c r="S127" t="s">
        <v>30</v>
      </c>
      <c r="U127" t="s">
        <v>64</v>
      </c>
      <c r="V127" t="s">
        <v>65</v>
      </c>
      <c r="W127">
        <v>9.1999999999999993</v>
      </c>
      <c r="X127">
        <v>38</v>
      </c>
      <c r="Y127">
        <v>349.59999999999997</v>
      </c>
      <c r="Z127">
        <v>33.211999999999996</v>
      </c>
    </row>
    <row r="128" spans="1:26" x14ac:dyDescent="0.35">
      <c r="A128">
        <v>1142</v>
      </c>
      <c r="B128">
        <v>41801</v>
      </c>
      <c r="C128">
        <v>11</v>
      </c>
      <c r="D128" t="s">
        <v>113</v>
      </c>
      <c r="E128" t="s">
        <v>114</v>
      </c>
      <c r="F128" t="s">
        <v>115</v>
      </c>
      <c r="G128" t="s">
        <v>116</v>
      </c>
      <c r="H128">
        <v>99999</v>
      </c>
      <c r="I128" t="s">
        <v>30</v>
      </c>
      <c r="J128" t="s">
        <v>94</v>
      </c>
      <c r="K128" t="s">
        <v>95</v>
      </c>
      <c r="M128" t="s">
        <v>62</v>
      </c>
      <c r="N128" t="s">
        <v>117</v>
      </c>
      <c r="O128" t="s">
        <v>114</v>
      </c>
      <c r="P128" t="s">
        <v>115</v>
      </c>
      <c r="Q128" t="s">
        <v>116</v>
      </c>
      <c r="R128">
        <v>99999</v>
      </c>
      <c r="S128" t="s">
        <v>30</v>
      </c>
      <c r="U128" t="s">
        <v>38</v>
      </c>
      <c r="V128" t="s">
        <v>39</v>
      </c>
      <c r="W128">
        <v>3.5</v>
      </c>
      <c r="X128">
        <v>28</v>
      </c>
      <c r="Y128">
        <v>98</v>
      </c>
      <c r="Z128">
        <v>10.290000000000001</v>
      </c>
    </row>
    <row r="129" spans="1:26" x14ac:dyDescent="0.35">
      <c r="A129">
        <v>1143</v>
      </c>
      <c r="B129">
        <v>41801</v>
      </c>
      <c r="C129">
        <v>11</v>
      </c>
      <c r="D129" t="s">
        <v>113</v>
      </c>
      <c r="E129" t="s">
        <v>114</v>
      </c>
      <c r="F129" t="s">
        <v>115</v>
      </c>
      <c r="G129" t="s">
        <v>116</v>
      </c>
      <c r="H129">
        <v>99999</v>
      </c>
      <c r="I129" t="s">
        <v>30</v>
      </c>
      <c r="J129" t="s">
        <v>94</v>
      </c>
      <c r="K129" t="s">
        <v>95</v>
      </c>
      <c r="M129" t="s">
        <v>62</v>
      </c>
      <c r="N129" t="s">
        <v>117</v>
      </c>
      <c r="O129" t="s">
        <v>114</v>
      </c>
      <c r="P129" t="s">
        <v>115</v>
      </c>
      <c r="Q129" t="s">
        <v>116</v>
      </c>
      <c r="R129">
        <v>99999</v>
      </c>
      <c r="S129" t="s">
        <v>30</v>
      </c>
      <c r="U129" t="s">
        <v>103</v>
      </c>
      <c r="V129" t="s">
        <v>37</v>
      </c>
      <c r="W129">
        <v>2.99</v>
      </c>
      <c r="X129">
        <v>60</v>
      </c>
      <c r="Y129">
        <v>179.4</v>
      </c>
      <c r="Z129">
        <v>17.581200000000003</v>
      </c>
    </row>
    <row r="130" spans="1:26" x14ac:dyDescent="0.35">
      <c r="A130">
        <v>1144</v>
      </c>
      <c r="B130">
        <v>41791</v>
      </c>
      <c r="C130">
        <v>1</v>
      </c>
      <c r="D130" t="s">
        <v>118</v>
      </c>
      <c r="E130" t="s">
        <v>119</v>
      </c>
      <c r="F130" t="s">
        <v>120</v>
      </c>
      <c r="G130" t="s">
        <v>121</v>
      </c>
      <c r="H130">
        <v>99999</v>
      </c>
      <c r="I130" t="s">
        <v>30</v>
      </c>
      <c r="J130" t="s">
        <v>60</v>
      </c>
      <c r="K130" t="s">
        <v>61</v>
      </c>
      <c r="N130" t="s">
        <v>122</v>
      </c>
      <c r="O130" t="s">
        <v>119</v>
      </c>
      <c r="P130" t="s">
        <v>120</v>
      </c>
      <c r="Q130" t="s">
        <v>121</v>
      </c>
      <c r="R130">
        <v>99999</v>
      </c>
      <c r="S130" t="s">
        <v>30</v>
      </c>
      <c r="U130" t="s">
        <v>54</v>
      </c>
      <c r="V130" t="s">
        <v>37</v>
      </c>
      <c r="W130">
        <v>18</v>
      </c>
      <c r="X130">
        <v>33</v>
      </c>
      <c r="Y130">
        <v>594</v>
      </c>
      <c r="Z130">
        <v>58.212000000000003</v>
      </c>
    </row>
    <row r="131" spans="1:26" x14ac:dyDescent="0.35">
      <c r="A131">
        <v>1145</v>
      </c>
      <c r="B131">
        <v>41791</v>
      </c>
      <c r="C131">
        <v>1</v>
      </c>
      <c r="D131" t="s">
        <v>118</v>
      </c>
      <c r="E131" t="s">
        <v>119</v>
      </c>
      <c r="F131" t="s">
        <v>120</v>
      </c>
      <c r="G131" t="s">
        <v>121</v>
      </c>
      <c r="H131">
        <v>99999</v>
      </c>
      <c r="I131" t="s">
        <v>30</v>
      </c>
      <c r="J131" t="s">
        <v>60</v>
      </c>
      <c r="K131" t="s">
        <v>61</v>
      </c>
      <c r="N131" t="s">
        <v>122</v>
      </c>
      <c r="O131" t="s">
        <v>119</v>
      </c>
      <c r="P131" t="s">
        <v>120</v>
      </c>
      <c r="Q131" t="s">
        <v>121</v>
      </c>
      <c r="R131">
        <v>99999</v>
      </c>
      <c r="S131" t="s">
        <v>30</v>
      </c>
      <c r="U131" t="s">
        <v>55</v>
      </c>
      <c r="V131" t="s">
        <v>37</v>
      </c>
      <c r="W131">
        <v>46</v>
      </c>
      <c r="X131">
        <v>22</v>
      </c>
      <c r="Y131">
        <v>1012</v>
      </c>
      <c r="Z131">
        <v>101.2</v>
      </c>
    </row>
    <row r="132" spans="1:26" x14ac:dyDescent="0.35">
      <c r="A132">
        <v>1146</v>
      </c>
      <c r="B132">
        <v>41791</v>
      </c>
      <c r="C132">
        <v>1</v>
      </c>
      <c r="D132" t="s">
        <v>118</v>
      </c>
      <c r="E132" t="s">
        <v>119</v>
      </c>
      <c r="F132" t="s">
        <v>120</v>
      </c>
      <c r="G132" t="s">
        <v>121</v>
      </c>
      <c r="H132">
        <v>99999</v>
      </c>
      <c r="I132" t="s">
        <v>30</v>
      </c>
      <c r="J132" t="s">
        <v>60</v>
      </c>
      <c r="K132" t="s">
        <v>61</v>
      </c>
      <c r="N132" t="s">
        <v>122</v>
      </c>
      <c r="O132" t="s">
        <v>119</v>
      </c>
      <c r="P132" t="s">
        <v>120</v>
      </c>
      <c r="Q132" t="s">
        <v>121</v>
      </c>
      <c r="R132">
        <v>99999</v>
      </c>
      <c r="S132" t="s">
        <v>30</v>
      </c>
      <c r="U132" t="s">
        <v>103</v>
      </c>
      <c r="V132" t="s">
        <v>37</v>
      </c>
      <c r="W132">
        <v>2.99</v>
      </c>
      <c r="X132">
        <v>51</v>
      </c>
      <c r="Y132">
        <v>152.49</v>
      </c>
      <c r="Z132">
        <v>14.944020000000002</v>
      </c>
    </row>
    <row r="133" spans="1:26" x14ac:dyDescent="0.35">
      <c r="A133">
        <v>1147</v>
      </c>
      <c r="B133">
        <v>41818</v>
      </c>
      <c r="C133">
        <v>28</v>
      </c>
      <c r="D133" t="s">
        <v>90</v>
      </c>
      <c r="E133" t="s">
        <v>91</v>
      </c>
      <c r="F133" t="s">
        <v>92</v>
      </c>
      <c r="G133" t="s">
        <v>93</v>
      </c>
      <c r="H133">
        <v>99999</v>
      </c>
      <c r="I133" t="s">
        <v>30</v>
      </c>
      <c r="J133" t="s">
        <v>94</v>
      </c>
      <c r="K133" t="s">
        <v>95</v>
      </c>
      <c r="L133">
        <v>41820</v>
      </c>
      <c r="M133" t="s">
        <v>62</v>
      </c>
      <c r="N133" t="s">
        <v>96</v>
      </c>
      <c r="O133" t="s">
        <v>91</v>
      </c>
      <c r="P133" t="s">
        <v>92</v>
      </c>
      <c r="Q133" t="s">
        <v>93</v>
      </c>
      <c r="R133">
        <v>99999</v>
      </c>
      <c r="S133" t="s">
        <v>30</v>
      </c>
      <c r="T133" t="s">
        <v>48</v>
      </c>
      <c r="U133" t="s">
        <v>80</v>
      </c>
      <c r="V133" t="s">
        <v>81</v>
      </c>
      <c r="W133">
        <v>9.65</v>
      </c>
      <c r="X133">
        <v>60</v>
      </c>
      <c r="Y133">
        <v>579</v>
      </c>
      <c r="Z133">
        <v>57.321000000000005</v>
      </c>
    </row>
    <row r="134" spans="1:26" x14ac:dyDescent="0.35">
      <c r="A134">
        <v>1148</v>
      </c>
      <c r="B134">
        <v>41818</v>
      </c>
      <c r="C134">
        <v>28</v>
      </c>
      <c r="D134" t="s">
        <v>90</v>
      </c>
      <c r="E134" t="s">
        <v>91</v>
      </c>
      <c r="F134" t="s">
        <v>92</v>
      </c>
      <c r="G134" t="s">
        <v>93</v>
      </c>
      <c r="H134">
        <v>99999</v>
      </c>
      <c r="I134" t="s">
        <v>30</v>
      </c>
      <c r="J134" t="s">
        <v>94</v>
      </c>
      <c r="K134" t="s">
        <v>95</v>
      </c>
      <c r="L134">
        <v>41820</v>
      </c>
      <c r="M134" t="s">
        <v>62</v>
      </c>
      <c r="N134" t="s">
        <v>96</v>
      </c>
      <c r="O134" t="s">
        <v>91</v>
      </c>
      <c r="P134" t="s">
        <v>92</v>
      </c>
      <c r="Q134" t="s">
        <v>93</v>
      </c>
      <c r="R134">
        <v>99999</v>
      </c>
      <c r="S134" t="s">
        <v>30</v>
      </c>
      <c r="T134" t="s">
        <v>48</v>
      </c>
      <c r="U134" t="s">
        <v>123</v>
      </c>
      <c r="V134" t="s">
        <v>124</v>
      </c>
      <c r="W134">
        <v>18.399999999999999</v>
      </c>
      <c r="X134">
        <v>98</v>
      </c>
      <c r="Y134">
        <v>1803.1999999999998</v>
      </c>
      <c r="Z134">
        <v>183.9264</v>
      </c>
    </row>
    <row r="135" spans="1:26" x14ac:dyDescent="0.35">
      <c r="A135">
        <v>1149</v>
      </c>
      <c r="B135">
        <v>41799</v>
      </c>
      <c r="C135">
        <v>9</v>
      </c>
      <c r="D135" t="s">
        <v>125</v>
      </c>
      <c r="E135" t="s">
        <v>126</v>
      </c>
      <c r="F135" t="s">
        <v>127</v>
      </c>
      <c r="G135" t="s">
        <v>128</v>
      </c>
      <c r="H135">
        <v>99999</v>
      </c>
      <c r="I135" t="s">
        <v>30</v>
      </c>
      <c r="J135" t="s">
        <v>129</v>
      </c>
      <c r="K135" t="s">
        <v>32</v>
      </c>
      <c r="L135">
        <v>41801</v>
      </c>
      <c r="M135" t="s">
        <v>46</v>
      </c>
      <c r="N135" t="s">
        <v>130</v>
      </c>
      <c r="O135" t="s">
        <v>126</v>
      </c>
      <c r="P135" t="s">
        <v>127</v>
      </c>
      <c r="Q135" t="s">
        <v>128</v>
      </c>
      <c r="R135">
        <v>99999</v>
      </c>
      <c r="S135" t="s">
        <v>30</v>
      </c>
      <c r="T135" t="s">
        <v>35</v>
      </c>
      <c r="U135" t="s">
        <v>131</v>
      </c>
      <c r="V135" t="s">
        <v>132</v>
      </c>
      <c r="W135">
        <v>19.5</v>
      </c>
      <c r="X135">
        <v>27</v>
      </c>
      <c r="Y135">
        <v>526.5</v>
      </c>
      <c r="Z135">
        <v>51.070500000000003</v>
      </c>
    </row>
    <row r="136" spans="1:26" x14ac:dyDescent="0.35">
      <c r="A136">
        <v>1150</v>
      </c>
      <c r="B136">
        <v>41799</v>
      </c>
      <c r="C136">
        <v>9</v>
      </c>
      <c r="D136" t="s">
        <v>125</v>
      </c>
      <c r="E136" t="s">
        <v>126</v>
      </c>
      <c r="F136" t="s">
        <v>127</v>
      </c>
      <c r="G136" t="s">
        <v>128</v>
      </c>
      <c r="H136">
        <v>99999</v>
      </c>
      <c r="I136" t="s">
        <v>30</v>
      </c>
      <c r="J136" t="s">
        <v>129</v>
      </c>
      <c r="K136" t="s">
        <v>32</v>
      </c>
      <c r="L136">
        <v>41801</v>
      </c>
      <c r="M136" t="s">
        <v>46</v>
      </c>
      <c r="N136" t="s">
        <v>130</v>
      </c>
      <c r="O136" t="s">
        <v>126</v>
      </c>
      <c r="P136" t="s">
        <v>127</v>
      </c>
      <c r="Q136" t="s">
        <v>128</v>
      </c>
      <c r="R136">
        <v>99999</v>
      </c>
      <c r="S136" t="s">
        <v>30</v>
      </c>
      <c r="T136" t="s">
        <v>35</v>
      </c>
      <c r="U136" t="s">
        <v>133</v>
      </c>
      <c r="V136" t="s">
        <v>134</v>
      </c>
      <c r="W136">
        <v>34.799999999999997</v>
      </c>
      <c r="X136">
        <v>88</v>
      </c>
      <c r="Y136">
        <v>3062.3999999999996</v>
      </c>
      <c r="Z136">
        <v>303.17759999999993</v>
      </c>
    </row>
    <row r="137" spans="1:26" x14ac:dyDescent="0.35">
      <c r="A137">
        <v>1151</v>
      </c>
      <c r="B137">
        <v>41796</v>
      </c>
      <c r="C137">
        <v>6</v>
      </c>
      <c r="D137" t="s">
        <v>82</v>
      </c>
      <c r="E137" t="s">
        <v>83</v>
      </c>
      <c r="F137" t="s">
        <v>84</v>
      </c>
      <c r="G137" t="s">
        <v>85</v>
      </c>
      <c r="H137">
        <v>99999</v>
      </c>
      <c r="I137" t="s">
        <v>30</v>
      </c>
      <c r="J137" t="s">
        <v>86</v>
      </c>
      <c r="K137" t="s">
        <v>61</v>
      </c>
      <c r="L137">
        <v>41798</v>
      </c>
      <c r="M137" t="s">
        <v>33</v>
      </c>
      <c r="N137" t="s">
        <v>87</v>
      </c>
      <c r="O137" t="s">
        <v>83</v>
      </c>
      <c r="P137" t="s">
        <v>84</v>
      </c>
      <c r="Q137" t="s">
        <v>85</v>
      </c>
      <c r="R137">
        <v>99999</v>
      </c>
      <c r="S137" t="s">
        <v>30</v>
      </c>
      <c r="T137" t="s">
        <v>48</v>
      </c>
      <c r="U137" t="s">
        <v>36</v>
      </c>
      <c r="V137" t="s">
        <v>37</v>
      </c>
      <c r="W137">
        <v>14</v>
      </c>
      <c r="X137">
        <v>65</v>
      </c>
      <c r="Y137">
        <v>910</v>
      </c>
      <c r="Z137">
        <v>95.55</v>
      </c>
    </row>
    <row r="138" spans="1:26" x14ac:dyDescent="0.35">
      <c r="A138">
        <v>1152</v>
      </c>
      <c r="B138">
        <v>41798</v>
      </c>
      <c r="C138">
        <v>8</v>
      </c>
      <c r="D138" t="s">
        <v>56</v>
      </c>
      <c r="E138" t="s">
        <v>57</v>
      </c>
      <c r="F138" t="s">
        <v>58</v>
      </c>
      <c r="G138" t="s">
        <v>59</v>
      </c>
      <c r="H138">
        <v>99999</v>
      </c>
      <c r="I138" t="s">
        <v>30</v>
      </c>
      <c r="J138" t="s">
        <v>60</v>
      </c>
      <c r="K138" t="s">
        <v>61</v>
      </c>
      <c r="L138">
        <v>41800</v>
      </c>
      <c r="M138" t="s">
        <v>33</v>
      </c>
      <c r="N138" t="s">
        <v>63</v>
      </c>
      <c r="O138" t="s">
        <v>57</v>
      </c>
      <c r="P138" t="s">
        <v>58</v>
      </c>
      <c r="Q138" t="s">
        <v>59</v>
      </c>
      <c r="R138">
        <v>99999</v>
      </c>
      <c r="S138" t="s">
        <v>30</v>
      </c>
      <c r="T138" t="s">
        <v>35</v>
      </c>
      <c r="U138" t="s">
        <v>88</v>
      </c>
      <c r="V138" t="s">
        <v>89</v>
      </c>
      <c r="W138">
        <v>40</v>
      </c>
      <c r="X138">
        <v>38</v>
      </c>
      <c r="Y138">
        <v>1520</v>
      </c>
      <c r="Z138">
        <v>148.96</v>
      </c>
    </row>
    <row r="139" spans="1:26" x14ac:dyDescent="0.35">
      <c r="A139">
        <v>1153</v>
      </c>
      <c r="B139">
        <v>41798</v>
      </c>
      <c r="C139">
        <v>8</v>
      </c>
      <c r="D139" t="s">
        <v>56</v>
      </c>
      <c r="E139" t="s">
        <v>57</v>
      </c>
      <c r="F139" t="s">
        <v>58</v>
      </c>
      <c r="G139" t="s">
        <v>59</v>
      </c>
      <c r="H139">
        <v>99999</v>
      </c>
      <c r="I139" t="s">
        <v>30</v>
      </c>
      <c r="J139" t="s">
        <v>60</v>
      </c>
      <c r="K139" t="s">
        <v>61</v>
      </c>
      <c r="L139">
        <v>41800</v>
      </c>
      <c r="M139" t="s">
        <v>33</v>
      </c>
      <c r="N139" t="s">
        <v>63</v>
      </c>
      <c r="O139" t="s">
        <v>57</v>
      </c>
      <c r="P139" t="s">
        <v>58</v>
      </c>
      <c r="Q139" t="s">
        <v>59</v>
      </c>
      <c r="R139">
        <v>99999</v>
      </c>
      <c r="S139" t="s">
        <v>30</v>
      </c>
      <c r="T139" t="s">
        <v>35</v>
      </c>
      <c r="U139" t="s">
        <v>64</v>
      </c>
      <c r="V139" t="s">
        <v>65</v>
      </c>
      <c r="W139">
        <v>9.1999999999999993</v>
      </c>
      <c r="X139">
        <v>80</v>
      </c>
      <c r="Y139">
        <v>736</v>
      </c>
      <c r="Z139">
        <v>70.656000000000006</v>
      </c>
    </row>
    <row r="140" spans="1:26" x14ac:dyDescent="0.35">
      <c r="A140">
        <v>1154</v>
      </c>
      <c r="B140">
        <v>41815</v>
      </c>
      <c r="C140">
        <v>25</v>
      </c>
      <c r="D140" t="s">
        <v>137</v>
      </c>
      <c r="E140" t="s">
        <v>138</v>
      </c>
      <c r="F140" t="s">
        <v>99</v>
      </c>
      <c r="G140" t="s">
        <v>100</v>
      </c>
      <c r="H140">
        <v>99999</v>
      </c>
      <c r="I140" t="s">
        <v>30</v>
      </c>
      <c r="J140" t="s">
        <v>101</v>
      </c>
      <c r="K140" t="s">
        <v>45</v>
      </c>
      <c r="L140">
        <v>41817</v>
      </c>
      <c r="M140" t="s">
        <v>46</v>
      </c>
      <c r="N140" t="s">
        <v>139</v>
      </c>
      <c r="O140" t="s">
        <v>138</v>
      </c>
      <c r="P140" t="s">
        <v>99</v>
      </c>
      <c r="Q140" t="s">
        <v>100</v>
      </c>
      <c r="R140">
        <v>99999</v>
      </c>
      <c r="S140" t="s">
        <v>30</v>
      </c>
      <c r="T140" t="s">
        <v>79</v>
      </c>
      <c r="U140" t="s">
        <v>146</v>
      </c>
      <c r="V140" t="s">
        <v>65</v>
      </c>
      <c r="W140">
        <v>10</v>
      </c>
      <c r="X140">
        <v>49</v>
      </c>
      <c r="Y140">
        <v>490</v>
      </c>
      <c r="Z140">
        <v>47.04</v>
      </c>
    </row>
    <row r="141" spans="1:26" x14ac:dyDescent="0.35">
      <c r="A141">
        <v>1155</v>
      </c>
      <c r="B141">
        <v>41816</v>
      </c>
      <c r="C141">
        <v>26</v>
      </c>
      <c r="D141" t="s">
        <v>140</v>
      </c>
      <c r="E141" t="s">
        <v>141</v>
      </c>
      <c r="F141" t="s">
        <v>115</v>
      </c>
      <c r="G141" t="s">
        <v>116</v>
      </c>
      <c r="H141">
        <v>99999</v>
      </c>
      <c r="I141" t="s">
        <v>30</v>
      </c>
      <c r="J141" t="s">
        <v>94</v>
      </c>
      <c r="K141" t="s">
        <v>95</v>
      </c>
      <c r="L141">
        <v>41818</v>
      </c>
      <c r="M141" t="s">
        <v>62</v>
      </c>
      <c r="N141" t="s">
        <v>142</v>
      </c>
      <c r="O141" t="s">
        <v>141</v>
      </c>
      <c r="P141" t="s">
        <v>115</v>
      </c>
      <c r="Q141" t="s">
        <v>116</v>
      </c>
      <c r="R141">
        <v>99999</v>
      </c>
      <c r="S141" t="s">
        <v>30</v>
      </c>
      <c r="T141" t="s">
        <v>48</v>
      </c>
      <c r="U141" t="s">
        <v>147</v>
      </c>
      <c r="V141" t="s">
        <v>148</v>
      </c>
      <c r="W141">
        <v>21.35</v>
      </c>
      <c r="X141">
        <v>90</v>
      </c>
      <c r="Y141">
        <v>1921.5000000000002</v>
      </c>
      <c r="Z141">
        <v>186.38550000000004</v>
      </c>
    </row>
    <row r="142" spans="1:26" x14ac:dyDescent="0.35">
      <c r="A142">
        <v>1156</v>
      </c>
      <c r="B142">
        <v>41816</v>
      </c>
      <c r="C142">
        <v>26</v>
      </c>
      <c r="D142" t="s">
        <v>140</v>
      </c>
      <c r="E142" t="s">
        <v>141</v>
      </c>
      <c r="F142" t="s">
        <v>115</v>
      </c>
      <c r="G142" t="s">
        <v>116</v>
      </c>
      <c r="H142">
        <v>99999</v>
      </c>
      <c r="I142" t="s">
        <v>30</v>
      </c>
      <c r="J142" t="s">
        <v>94</v>
      </c>
      <c r="K142" t="s">
        <v>95</v>
      </c>
      <c r="L142">
        <v>41818</v>
      </c>
      <c r="M142" t="s">
        <v>62</v>
      </c>
      <c r="N142" t="s">
        <v>142</v>
      </c>
      <c r="O142" t="s">
        <v>141</v>
      </c>
      <c r="P142" t="s">
        <v>115</v>
      </c>
      <c r="Q142" t="s">
        <v>116</v>
      </c>
      <c r="R142">
        <v>99999</v>
      </c>
      <c r="S142" t="s">
        <v>30</v>
      </c>
      <c r="T142" t="s">
        <v>48</v>
      </c>
      <c r="U142" t="s">
        <v>80</v>
      </c>
      <c r="V142" t="s">
        <v>81</v>
      </c>
      <c r="W142">
        <v>9.65</v>
      </c>
      <c r="X142">
        <v>60</v>
      </c>
      <c r="Y142">
        <v>579</v>
      </c>
      <c r="Z142">
        <v>59.637000000000008</v>
      </c>
    </row>
    <row r="143" spans="1:26" x14ac:dyDescent="0.35">
      <c r="A143">
        <v>1157</v>
      </c>
      <c r="B143">
        <v>41816</v>
      </c>
      <c r="C143">
        <v>26</v>
      </c>
      <c r="D143" t="s">
        <v>140</v>
      </c>
      <c r="E143" t="s">
        <v>141</v>
      </c>
      <c r="F143" t="s">
        <v>115</v>
      </c>
      <c r="G143" t="s">
        <v>116</v>
      </c>
      <c r="H143">
        <v>99999</v>
      </c>
      <c r="I143" t="s">
        <v>30</v>
      </c>
      <c r="J143" t="s">
        <v>94</v>
      </c>
      <c r="K143" t="s">
        <v>95</v>
      </c>
      <c r="L143">
        <v>41818</v>
      </c>
      <c r="M143" t="s">
        <v>62</v>
      </c>
      <c r="N143" t="s">
        <v>142</v>
      </c>
      <c r="O143" t="s">
        <v>141</v>
      </c>
      <c r="P143" t="s">
        <v>115</v>
      </c>
      <c r="Q143" t="s">
        <v>116</v>
      </c>
      <c r="R143">
        <v>99999</v>
      </c>
      <c r="S143" t="s">
        <v>30</v>
      </c>
      <c r="T143" t="s">
        <v>48</v>
      </c>
      <c r="U143" t="s">
        <v>123</v>
      </c>
      <c r="V143" t="s">
        <v>124</v>
      </c>
      <c r="W143">
        <v>18.399999999999999</v>
      </c>
      <c r="X143">
        <v>39</v>
      </c>
      <c r="Y143">
        <v>717.59999999999991</v>
      </c>
      <c r="Z143">
        <v>71.759999999999991</v>
      </c>
    </row>
    <row r="144" spans="1:26" x14ac:dyDescent="0.35">
      <c r="A144">
        <v>1158</v>
      </c>
      <c r="B144">
        <v>41819</v>
      </c>
      <c r="C144">
        <v>29</v>
      </c>
      <c r="D144" t="s">
        <v>66</v>
      </c>
      <c r="E144" t="s">
        <v>67</v>
      </c>
      <c r="F144" t="s">
        <v>68</v>
      </c>
      <c r="G144" t="s">
        <v>69</v>
      </c>
      <c r="H144">
        <v>99999</v>
      </c>
      <c r="I144" t="s">
        <v>30</v>
      </c>
      <c r="J144" t="s">
        <v>70</v>
      </c>
      <c r="K144" t="s">
        <v>32</v>
      </c>
      <c r="L144">
        <v>41821</v>
      </c>
      <c r="M144" t="s">
        <v>33</v>
      </c>
      <c r="N144" t="s">
        <v>71</v>
      </c>
      <c r="O144" t="s">
        <v>67</v>
      </c>
      <c r="P144" t="s">
        <v>68</v>
      </c>
      <c r="Q144" t="s">
        <v>69</v>
      </c>
      <c r="R144">
        <v>99999</v>
      </c>
      <c r="S144" t="s">
        <v>30</v>
      </c>
      <c r="T144" t="s">
        <v>35</v>
      </c>
      <c r="U144" t="s">
        <v>36</v>
      </c>
      <c r="V144" t="s">
        <v>37</v>
      </c>
      <c r="W144">
        <v>14</v>
      </c>
      <c r="X144">
        <v>79</v>
      </c>
      <c r="Y144">
        <v>1106</v>
      </c>
      <c r="Z144">
        <v>113.91800000000001</v>
      </c>
    </row>
    <row r="145" spans="1:26" x14ac:dyDescent="0.35">
      <c r="A145">
        <v>1159</v>
      </c>
      <c r="B145">
        <v>41796</v>
      </c>
      <c r="C145">
        <v>6</v>
      </c>
      <c r="D145" t="s">
        <v>82</v>
      </c>
      <c r="E145" t="s">
        <v>83</v>
      </c>
      <c r="F145" t="s">
        <v>84</v>
      </c>
      <c r="G145" t="s">
        <v>85</v>
      </c>
      <c r="H145">
        <v>99999</v>
      </c>
      <c r="I145" t="s">
        <v>30</v>
      </c>
      <c r="J145" t="s">
        <v>86</v>
      </c>
      <c r="K145" t="s">
        <v>61</v>
      </c>
      <c r="L145">
        <v>41798</v>
      </c>
      <c r="M145" t="s">
        <v>62</v>
      </c>
      <c r="N145" t="s">
        <v>87</v>
      </c>
      <c r="O145" t="s">
        <v>83</v>
      </c>
      <c r="P145" t="s">
        <v>84</v>
      </c>
      <c r="Q145" t="s">
        <v>85</v>
      </c>
      <c r="R145">
        <v>99999</v>
      </c>
      <c r="S145" t="s">
        <v>30</v>
      </c>
      <c r="T145" t="s">
        <v>35</v>
      </c>
      <c r="U145" t="s">
        <v>72</v>
      </c>
      <c r="V145" t="s">
        <v>73</v>
      </c>
      <c r="W145">
        <v>12.75</v>
      </c>
      <c r="X145">
        <v>44</v>
      </c>
      <c r="Y145">
        <v>561</v>
      </c>
      <c r="Z145">
        <v>57.222000000000001</v>
      </c>
    </row>
    <row r="146" spans="1:26" x14ac:dyDescent="0.35">
      <c r="A146">
        <v>1161</v>
      </c>
      <c r="B146">
        <v>41794</v>
      </c>
      <c r="C146">
        <v>4</v>
      </c>
      <c r="D146" t="s">
        <v>40</v>
      </c>
      <c r="E146" t="s">
        <v>41</v>
      </c>
      <c r="F146" t="s">
        <v>42</v>
      </c>
      <c r="G146" t="s">
        <v>43</v>
      </c>
      <c r="H146">
        <v>99999</v>
      </c>
      <c r="I146" t="s">
        <v>30</v>
      </c>
      <c r="J146" t="s">
        <v>44</v>
      </c>
      <c r="K146" t="s">
        <v>45</v>
      </c>
      <c r="L146">
        <v>41796</v>
      </c>
      <c r="M146" t="s">
        <v>46</v>
      </c>
      <c r="N146" t="s">
        <v>47</v>
      </c>
      <c r="O146" t="s">
        <v>41</v>
      </c>
      <c r="P146" t="s">
        <v>42</v>
      </c>
      <c r="Q146" t="s">
        <v>43</v>
      </c>
      <c r="R146">
        <v>99999</v>
      </c>
      <c r="S146" t="s">
        <v>30</v>
      </c>
      <c r="T146" t="s">
        <v>48</v>
      </c>
      <c r="U146" t="s">
        <v>149</v>
      </c>
      <c r="V146" t="s">
        <v>110</v>
      </c>
      <c r="W146">
        <v>81</v>
      </c>
      <c r="X146">
        <v>98</v>
      </c>
      <c r="Y146">
        <v>7938</v>
      </c>
      <c r="Z146">
        <v>769.98599999999999</v>
      </c>
    </row>
    <row r="147" spans="1:26" x14ac:dyDescent="0.35">
      <c r="A147">
        <v>1162</v>
      </c>
      <c r="B147">
        <v>41794</v>
      </c>
      <c r="C147">
        <v>4</v>
      </c>
      <c r="D147" t="s">
        <v>40</v>
      </c>
      <c r="E147" t="s">
        <v>41</v>
      </c>
      <c r="F147" t="s">
        <v>42</v>
      </c>
      <c r="G147" t="s">
        <v>43</v>
      </c>
      <c r="H147">
        <v>99999</v>
      </c>
      <c r="I147" t="s">
        <v>30</v>
      </c>
      <c r="J147" t="s">
        <v>44</v>
      </c>
      <c r="K147" t="s">
        <v>45</v>
      </c>
      <c r="L147">
        <v>41796</v>
      </c>
      <c r="M147" t="s">
        <v>46</v>
      </c>
      <c r="N147" t="s">
        <v>47</v>
      </c>
      <c r="O147" t="s">
        <v>41</v>
      </c>
      <c r="P147" t="s">
        <v>42</v>
      </c>
      <c r="Q147" t="s">
        <v>43</v>
      </c>
      <c r="R147">
        <v>99999</v>
      </c>
      <c r="S147" t="s">
        <v>30</v>
      </c>
      <c r="T147" t="s">
        <v>48</v>
      </c>
      <c r="U147" t="s">
        <v>150</v>
      </c>
      <c r="V147" t="s">
        <v>151</v>
      </c>
      <c r="W147">
        <v>7</v>
      </c>
      <c r="X147">
        <v>61</v>
      </c>
      <c r="Y147">
        <v>427</v>
      </c>
      <c r="Z147">
        <v>42.273000000000003</v>
      </c>
    </row>
    <row r="148" spans="1:26" x14ac:dyDescent="0.35">
      <c r="A148">
        <v>1164</v>
      </c>
      <c r="B148">
        <v>41798</v>
      </c>
      <c r="C148">
        <v>8</v>
      </c>
      <c r="D148" t="s">
        <v>56</v>
      </c>
      <c r="E148" t="s">
        <v>57</v>
      </c>
      <c r="F148" t="s">
        <v>58</v>
      </c>
      <c r="G148" t="s">
        <v>59</v>
      </c>
      <c r="H148">
        <v>99999</v>
      </c>
      <c r="I148" t="s">
        <v>30</v>
      </c>
      <c r="J148" t="s">
        <v>60</v>
      </c>
      <c r="K148" t="s">
        <v>61</v>
      </c>
      <c r="L148">
        <v>41800</v>
      </c>
      <c r="M148" t="s">
        <v>62</v>
      </c>
      <c r="N148" t="s">
        <v>63</v>
      </c>
      <c r="O148" t="s">
        <v>57</v>
      </c>
      <c r="P148" t="s">
        <v>58</v>
      </c>
      <c r="Q148" t="s">
        <v>59</v>
      </c>
      <c r="R148">
        <v>99999</v>
      </c>
      <c r="S148" t="s">
        <v>30</v>
      </c>
      <c r="T148" t="s">
        <v>48</v>
      </c>
      <c r="U148" t="s">
        <v>133</v>
      </c>
      <c r="V148" t="s">
        <v>134</v>
      </c>
      <c r="W148">
        <v>34.799999999999997</v>
      </c>
      <c r="X148">
        <v>30</v>
      </c>
      <c r="Y148">
        <v>1044</v>
      </c>
      <c r="Z148">
        <v>109.62</v>
      </c>
    </row>
    <row r="149" spans="1:26" x14ac:dyDescent="0.35">
      <c r="A149">
        <v>1167</v>
      </c>
      <c r="B149">
        <v>41793</v>
      </c>
      <c r="C149">
        <v>3</v>
      </c>
      <c r="D149" t="s">
        <v>74</v>
      </c>
      <c r="E149" t="s">
        <v>75</v>
      </c>
      <c r="F149" t="s">
        <v>76</v>
      </c>
      <c r="G149" t="s">
        <v>77</v>
      </c>
      <c r="H149">
        <v>99999</v>
      </c>
      <c r="I149" t="s">
        <v>30</v>
      </c>
      <c r="J149" t="s">
        <v>31</v>
      </c>
      <c r="K149" t="s">
        <v>32</v>
      </c>
      <c r="L149">
        <v>41795</v>
      </c>
      <c r="M149" t="s">
        <v>33</v>
      </c>
      <c r="N149" t="s">
        <v>78</v>
      </c>
      <c r="O149" t="s">
        <v>75</v>
      </c>
      <c r="P149" t="s">
        <v>76</v>
      </c>
      <c r="Q149" t="s">
        <v>77</v>
      </c>
      <c r="R149">
        <v>99999</v>
      </c>
      <c r="S149" t="s">
        <v>30</v>
      </c>
      <c r="T149" t="s">
        <v>79</v>
      </c>
      <c r="U149" t="s">
        <v>135</v>
      </c>
      <c r="V149" t="s">
        <v>112</v>
      </c>
      <c r="W149">
        <v>10</v>
      </c>
      <c r="X149">
        <v>24</v>
      </c>
      <c r="Y149">
        <v>240</v>
      </c>
      <c r="Z149">
        <v>25.200000000000003</v>
      </c>
    </row>
    <row r="150" spans="1:26" x14ac:dyDescent="0.35">
      <c r="A150">
        <v>1168</v>
      </c>
      <c r="B150">
        <v>41793</v>
      </c>
      <c r="C150">
        <v>3</v>
      </c>
      <c r="D150" t="s">
        <v>74</v>
      </c>
      <c r="E150" t="s">
        <v>75</v>
      </c>
      <c r="F150" t="s">
        <v>76</v>
      </c>
      <c r="G150" t="s">
        <v>77</v>
      </c>
      <c r="H150">
        <v>99999</v>
      </c>
      <c r="I150" t="s">
        <v>30</v>
      </c>
      <c r="J150" t="s">
        <v>31</v>
      </c>
      <c r="K150" t="s">
        <v>32</v>
      </c>
      <c r="L150">
        <v>41795</v>
      </c>
      <c r="M150" t="s">
        <v>33</v>
      </c>
      <c r="N150" t="s">
        <v>78</v>
      </c>
      <c r="O150" t="s">
        <v>75</v>
      </c>
      <c r="P150" t="s">
        <v>76</v>
      </c>
      <c r="Q150" t="s">
        <v>77</v>
      </c>
      <c r="R150">
        <v>99999</v>
      </c>
      <c r="S150" t="s">
        <v>30</v>
      </c>
      <c r="T150" t="s">
        <v>79</v>
      </c>
      <c r="U150" t="s">
        <v>88</v>
      </c>
      <c r="V150" t="s">
        <v>89</v>
      </c>
      <c r="W150">
        <v>40</v>
      </c>
      <c r="X150">
        <v>28</v>
      </c>
      <c r="Y150">
        <v>1120</v>
      </c>
      <c r="Z150">
        <v>109.75999999999999</v>
      </c>
    </row>
    <row r="151" spans="1:26" x14ac:dyDescent="0.35">
      <c r="A151">
        <v>1172</v>
      </c>
      <c r="B151">
        <v>41800</v>
      </c>
      <c r="C151">
        <v>10</v>
      </c>
      <c r="D151" t="s">
        <v>97</v>
      </c>
      <c r="E151" t="s">
        <v>98</v>
      </c>
      <c r="F151" t="s">
        <v>99</v>
      </c>
      <c r="G151" t="s">
        <v>100</v>
      </c>
      <c r="H151">
        <v>99999</v>
      </c>
      <c r="I151" t="s">
        <v>30</v>
      </c>
      <c r="J151" t="s">
        <v>101</v>
      </c>
      <c r="K151" t="s">
        <v>45</v>
      </c>
      <c r="L151">
        <v>41802</v>
      </c>
      <c r="M151" t="s">
        <v>33</v>
      </c>
      <c r="N151" t="s">
        <v>102</v>
      </c>
      <c r="O151" t="s">
        <v>98</v>
      </c>
      <c r="P151" t="s">
        <v>99</v>
      </c>
      <c r="Q151" t="s">
        <v>100</v>
      </c>
      <c r="R151">
        <v>99999</v>
      </c>
      <c r="S151" t="s">
        <v>30</v>
      </c>
      <c r="T151" t="s">
        <v>48</v>
      </c>
      <c r="U151" t="s">
        <v>136</v>
      </c>
      <c r="V151" t="s">
        <v>39</v>
      </c>
      <c r="W151">
        <v>10</v>
      </c>
      <c r="X151">
        <v>74</v>
      </c>
      <c r="Y151">
        <v>740</v>
      </c>
      <c r="Z151">
        <v>71.78</v>
      </c>
    </row>
    <row r="152" spans="1:26" x14ac:dyDescent="0.35">
      <c r="A152">
        <v>1174</v>
      </c>
      <c r="B152">
        <v>41800</v>
      </c>
      <c r="C152">
        <v>10</v>
      </c>
      <c r="D152" t="s">
        <v>97</v>
      </c>
      <c r="E152" t="s">
        <v>98</v>
      </c>
      <c r="F152" t="s">
        <v>99</v>
      </c>
      <c r="G152" t="s">
        <v>100</v>
      </c>
      <c r="H152">
        <v>99999</v>
      </c>
      <c r="I152" t="s">
        <v>30</v>
      </c>
      <c r="J152" t="s">
        <v>101</v>
      </c>
      <c r="K152" t="s">
        <v>45</v>
      </c>
      <c r="M152" t="s">
        <v>46</v>
      </c>
      <c r="N152" t="s">
        <v>102</v>
      </c>
      <c r="O152" t="s">
        <v>98</v>
      </c>
      <c r="P152" t="s">
        <v>99</v>
      </c>
      <c r="Q152" t="s">
        <v>100</v>
      </c>
      <c r="R152">
        <v>99999</v>
      </c>
      <c r="S152" t="s">
        <v>30</v>
      </c>
      <c r="U152" t="s">
        <v>38</v>
      </c>
      <c r="V152" t="s">
        <v>39</v>
      </c>
      <c r="W152">
        <v>3.5</v>
      </c>
      <c r="X152">
        <v>90</v>
      </c>
      <c r="Y152">
        <v>315</v>
      </c>
      <c r="Z152">
        <v>30.24</v>
      </c>
    </row>
    <row r="153" spans="1:26" x14ac:dyDescent="0.35">
      <c r="A153">
        <v>1175</v>
      </c>
      <c r="B153">
        <v>41801</v>
      </c>
      <c r="C153">
        <v>11</v>
      </c>
      <c r="D153" t="s">
        <v>113</v>
      </c>
      <c r="E153" t="s">
        <v>114</v>
      </c>
      <c r="F153" t="s">
        <v>115</v>
      </c>
      <c r="G153" t="s">
        <v>116</v>
      </c>
      <c r="H153">
        <v>99999</v>
      </c>
      <c r="I153" t="s">
        <v>30</v>
      </c>
      <c r="J153" t="s">
        <v>94</v>
      </c>
      <c r="K153" t="s">
        <v>95</v>
      </c>
      <c r="M153" t="s">
        <v>62</v>
      </c>
      <c r="N153" t="s">
        <v>117</v>
      </c>
      <c r="O153" t="s">
        <v>114</v>
      </c>
      <c r="P153" t="s">
        <v>115</v>
      </c>
      <c r="Q153" t="s">
        <v>116</v>
      </c>
      <c r="R153">
        <v>99999</v>
      </c>
      <c r="S153" t="s">
        <v>30</v>
      </c>
      <c r="U153" t="s">
        <v>88</v>
      </c>
      <c r="V153" t="s">
        <v>89</v>
      </c>
      <c r="W153">
        <v>40</v>
      </c>
      <c r="X153">
        <v>27</v>
      </c>
      <c r="Y153">
        <v>1080</v>
      </c>
      <c r="Z153">
        <v>111.24000000000001</v>
      </c>
    </row>
    <row r="154" spans="1:26" x14ac:dyDescent="0.35">
      <c r="A154">
        <v>1176</v>
      </c>
      <c r="B154">
        <v>41791</v>
      </c>
      <c r="C154">
        <v>1</v>
      </c>
      <c r="D154" t="s">
        <v>118</v>
      </c>
      <c r="E154" t="s">
        <v>119</v>
      </c>
      <c r="F154" t="s">
        <v>120</v>
      </c>
      <c r="G154" t="s">
        <v>121</v>
      </c>
      <c r="H154">
        <v>99999</v>
      </c>
      <c r="I154" t="s">
        <v>30</v>
      </c>
      <c r="J154" t="s">
        <v>60</v>
      </c>
      <c r="K154" t="s">
        <v>61</v>
      </c>
      <c r="M154" t="s">
        <v>62</v>
      </c>
      <c r="N154" t="s">
        <v>122</v>
      </c>
      <c r="O154" t="s">
        <v>119</v>
      </c>
      <c r="P154" t="s">
        <v>120</v>
      </c>
      <c r="Q154" t="s">
        <v>121</v>
      </c>
      <c r="R154">
        <v>99999</v>
      </c>
      <c r="S154" t="s">
        <v>30</v>
      </c>
      <c r="U154" t="s">
        <v>123</v>
      </c>
      <c r="V154" t="s">
        <v>124</v>
      </c>
      <c r="W154">
        <v>18.399999999999999</v>
      </c>
      <c r="X154">
        <v>71</v>
      </c>
      <c r="Y154">
        <v>1306.3999999999999</v>
      </c>
      <c r="Z154">
        <v>137.172</v>
      </c>
    </row>
    <row r="155" spans="1:26" x14ac:dyDescent="0.35">
      <c r="A155">
        <v>1177</v>
      </c>
      <c r="B155">
        <v>41818</v>
      </c>
      <c r="C155">
        <v>28</v>
      </c>
      <c r="D155" t="s">
        <v>90</v>
      </c>
      <c r="E155" t="s">
        <v>91</v>
      </c>
      <c r="F155" t="s">
        <v>92</v>
      </c>
      <c r="G155" t="s">
        <v>93</v>
      </c>
      <c r="H155">
        <v>99999</v>
      </c>
      <c r="I155" t="s">
        <v>30</v>
      </c>
      <c r="J155" t="s">
        <v>94</v>
      </c>
      <c r="K155" t="s">
        <v>95</v>
      </c>
      <c r="L155">
        <v>41820</v>
      </c>
      <c r="M155" t="s">
        <v>62</v>
      </c>
      <c r="N155" t="s">
        <v>96</v>
      </c>
      <c r="O155" t="s">
        <v>91</v>
      </c>
      <c r="P155" t="s">
        <v>92</v>
      </c>
      <c r="Q155" t="s">
        <v>93</v>
      </c>
      <c r="R155">
        <v>99999</v>
      </c>
      <c r="S155" t="s">
        <v>30</v>
      </c>
      <c r="T155" t="s">
        <v>48</v>
      </c>
      <c r="U155" t="s">
        <v>55</v>
      </c>
      <c r="V155" t="s">
        <v>37</v>
      </c>
      <c r="W155">
        <v>46</v>
      </c>
      <c r="X155">
        <v>74</v>
      </c>
      <c r="Y155">
        <v>3404</v>
      </c>
      <c r="Z155">
        <v>340.40000000000003</v>
      </c>
    </row>
    <row r="156" spans="1:26" x14ac:dyDescent="0.35">
      <c r="A156">
        <v>1178</v>
      </c>
      <c r="B156">
        <v>41799</v>
      </c>
      <c r="C156">
        <v>9</v>
      </c>
      <c r="D156" t="s">
        <v>125</v>
      </c>
      <c r="E156" t="s">
        <v>126</v>
      </c>
      <c r="F156" t="s">
        <v>127</v>
      </c>
      <c r="G156" t="s">
        <v>128</v>
      </c>
      <c r="H156">
        <v>99999</v>
      </c>
      <c r="I156" t="s">
        <v>30</v>
      </c>
      <c r="J156" t="s">
        <v>129</v>
      </c>
      <c r="K156" t="s">
        <v>32</v>
      </c>
      <c r="L156">
        <v>41801</v>
      </c>
      <c r="M156" t="s">
        <v>46</v>
      </c>
      <c r="N156" t="s">
        <v>130</v>
      </c>
      <c r="O156" t="s">
        <v>126</v>
      </c>
      <c r="P156" t="s">
        <v>127</v>
      </c>
      <c r="Q156" t="s">
        <v>128</v>
      </c>
      <c r="R156">
        <v>99999</v>
      </c>
      <c r="S156" t="s">
        <v>30</v>
      </c>
      <c r="T156" t="s">
        <v>35</v>
      </c>
      <c r="U156" t="s">
        <v>80</v>
      </c>
      <c r="V156" t="s">
        <v>81</v>
      </c>
      <c r="W156">
        <v>9.65</v>
      </c>
      <c r="X156">
        <v>76</v>
      </c>
      <c r="Y156">
        <v>733.4</v>
      </c>
      <c r="Z156">
        <v>72.6066</v>
      </c>
    </row>
    <row r="157" spans="1:26" x14ac:dyDescent="0.35">
      <c r="A157">
        <v>1179</v>
      </c>
      <c r="B157">
        <v>41796</v>
      </c>
      <c r="C157">
        <v>6</v>
      </c>
      <c r="D157" t="s">
        <v>82</v>
      </c>
      <c r="E157" t="s">
        <v>83</v>
      </c>
      <c r="F157" t="s">
        <v>84</v>
      </c>
      <c r="G157" t="s">
        <v>85</v>
      </c>
      <c r="H157">
        <v>99999</v>
      </c>
      <c r="I157" t="s">
        <v>30</v>
      </c>
      <c r="J157" t="s">
        <v>86</v>
      </c>
      <c r="K157" t="s">
        <v>61</v>
      </c>
      <c r="L157">
        <v>41798</v>
      </c>
      <c r="M157" t="s">
        <v>33</v>
      </c>
      <c r="N157" t="s">
        <v>87</v>
      </c>
      <c r="O157" t="s">
        <v>83</v>
      </c>
      <c r="P157" t="s">
        <v>84</v>
      </c>
      <c r="Q157" t="s">
        <v>85</v>
      </c>
      <c r="R157">
        <v>99999</v>
      </c>
      <c r="S157" t="s">
        <v>30</v>
      </c>
      <c r="T157" t="s">
        <v>48</v>
      </c>
      <c r="U157" t="s">
        <v>72</v>
      </c>
      <c r="V157" t="s">
        <v>73</v>
      </c>
      <c r="W157">
        <v>12.75</v>
      </c>
      <c r="X157">
        <v>96</v>
      </c>
      <c r="Y157">
        <v>1224</v>
      </c>
      <c r="Z157">
        <v>123.62400000000001</v>
      </c>
    </row>
    <row r="158" spans="1:26" x14ac:dyDescent="0.35">
      <c r="A158">
        <v>1180</v>
      </c>
      <c r="B158">
        <v>41798</v>
      </c>
      <c r="C158">
        <v>8</v>
      </c>
      <c r="D158" t="s">
        <v>56</v>
      </c>
      <c r="E158" t="s">
        <v>57</v>
      </c>
      <c r="F158" t="s">
        <v>58</v>
      </c>
      <c r="G158" t="s">
        <v>59</v>
      </c>
      <c r="H158">
        <v>99999</v>
      </c>
      <c r="I158" t="s">
        <v>30</v>
      </c>
      <c r="J158" t="s">
        <v>60</v>
      </c>
      <c r="K158" t="s">
        <v>61</v>
      </c>
      <c r="L158">
        <v>41800</v>
      </c>
      <c r="M158" t="s">
        <v>33</v>
      </c>
      <c r="N158" t="s">
        <v>63</v>
      </c>
      <c r="O158" t="s">
        <v>57</v>
      </c>
      <c r="P158" t="s">
        <v>58</v>
      </c>
      <c r="Q158" t="s">
        <v>59</v>
      </c>
      <c r="R158">
        <v>99999</v>
      </c>
      <c r="S158" t="s">
        <v>30</v>
      </c>
      <c r="T158" t="s">
        <v>35</v>
      </c>
      <c r="U158" t="s">
        <v>72</v>
      </c>
      <c r="V158" t="s">
        <v>73</v>
      </c>
      <c r="W158">
        <v>12.75</v>
      </c>
      <c r="X158">
        <v>92</v>
      </c>
      <c r="Y158">
        <v>1173</v>
      </c>
      <c r="Z158">
        <v>116.12700000000001</v>
      </c>
    </row>
    <row r="159" spans="1:26" x14ac:dyDescent="0.35">
      <c r="A159">
        <v>1181</v>
      </c>
      <c r="B159">
        <v>41815</v>
      </c>
      <c r="C159">
        <v>25</v>
      </c>
      <c r="D159" t="s">
        <v>137</v>
      </c>
      <c r="E159" t="s">
        <v>138</v>
      </c>
      <c r="F159" t="s">
        <v>99</v>
      </c>
      <c r="G159" t="s">
        <v>100</v>
      </c>
      <c r="H159">
        <v>99999</v>
      </c>
      <c r="I159" t="s">
        <v>30</v>
      </c>
      <c r="J159" t="s">
        <v>101</v>
      </c>
      <c r="K159" t="s">
        <v>45</v>
      </c>
      <c r="L159">
        <v>41817</v>
      </c>
      <c r="M159" t="s">
        <v>46</v>
      </c>
      <c r="N159" t="s">
        <v>139</v>
      </c>
      <c r="O159" t="s">
        <v>138</v>
      </c>
      <c r="P159" t="s">
        <v>99</v>
      </c>
      <c r="Q159" t="s">
        <v>100</v>
      </c>
      <c r="R159">
        <v>99999</v>
      </c>
      <c r="S159" t="s">
        <v>30</v>
      </c>
      <c r="T159" t="s">
        <v>79</v>
      </c>
      <c r="U159" t="s">
        <v>111</v>
      </c>
      <c r="V159" t="s">
        <v>112</v>
      </c>
      <c r="W159">
        <v>22</v>
      </c>
      <c r="X159">
        <v>93</v>
      </c>
      <c r="Y159">
        <v>2046</v>
      </c>
      <c r="Z159">
        <v>200.50800000000001</v>
      </c>
    </row>
    <row r="160" spans="1:26" x14ac:dyDescent="0.35">
      <c r="A160">
        <v>1182</v>
      </c>
      <c r="B160">
        <v>41816</v>
      </c>
      <c r="C160">
        <v>26</v>
      </c>
      <c r="D160" t="s">
        <v>140</v>
      </c>
      <c r="E160" t="s">
        <v>141</v>
      </c>
      <c r="F160" t="s">
        <v>115</v>
      </c>
      <c r="G160" t="s">
        <v>116</v>
      </c>
      <c r="H160">
        <v>99999</v>
      </c>
      <c r="I160" t="s">
        <v>30</v>
      </c>
      <c r="J160" t="s">
        <v>94</v>
      </c>
      <c r="K160" t="s">
        <v>95</v>
      </c>
      <c r="L160">
        <v>41818</v>
      </c>
      <c r="M160" t="s">
        <v>62</v>
      </c>
      <c r="N160" t="s">
        <v>142</v>
      </c>
      <c r="O160" t="s">
        <v>141</v>
      </c>
      <c r="P160" t="s">
        <v>115</v>
      </c>
      <c r="Q160" t="s">
        <v>116</v>
      </c>
      <c r="R160">
        <v>99999</v>
      </c>
      <c r="S160" t="s">
        <v>30</v>
      </c>
      <c r="T160" t="s">
        <v>48</v>
      </c>
      <c r="U160" t="s">
        <v>109</v>
      </c>
      <c r="V160" t="s">
        <v>110</v>
      </c>
      <c r="W160">
        <v>25</v>
      </c>
      <c r="X160">
        <v>18</v>
      </c>
      <c r="Y160">
        <v>450</v>
      </c>
      <c r="Z160">
        <v>42.75</v>
      </c>
    </row>
    <row r="161" spans="1:26" x14ac:dyDescent="0.35">
      <c r="A161">
        <v>1183</v>
      </c>
      <c r="B161">
        <v>41819</v>
      </c>
      <c r="C161">
        <v>29</v>
      </c>
      <c r="D161" t="s">
        <v>66</v>
      </c>
      <c r="E161" t="s">
        <v>67</v>
      </c>
      <c r="F161" t="s">
        <v>68</v>
      </c>
      <c r="G161" t="s">
        <v>69</v>
      </c>
      <c r="H161">
        <v>99999</v>
      </c>
      <c r="I161" t="s">
        <v>30</v>
      </c>
      <c r="J161" t="s">
        <v>70</v>
      </c>
      <c r="K161" t="s">
        <v>32</v>
      </c>
      <c r="L161">
        <v>41821</v>
      </c>
      <c r="M161" t="s">
        <v>33</v>
      </c>
      <c r="N161" t="s">
        <v>71</v>
      </c>
      <c r="O161" t="s">
        <v>67</v>
      </c>
      <c r="P161" t="s">
        <v>68</v>
      </c>
      <c r="Q161" t="s">
        <v>69</v>
      </c>
      <c r="R161">
        <v>99999</v>
      </c>
      <c r="S161" t="s">
        <v>30</v>
      </c>
      <c r="T161" t="s">
        <v>35</v>
      </c>
      <c r="U161" t="s">
        <v>143</v>
      </c>
      <c r="V161" t="s">
        <v>144</v>
      </c>
      <c r="W161">
        <v>39</v>
      </c>
      <c r="X161">
        <v>98</v>
      </c>
      <c r="Y161">
        <v>3822</v>
      </c>
      <c r="Z161">
        <v>397.48800000000006</v>
      </c>
    </row>
    <row r="162" spans="1:26" x14ac:dyDescent="0.35">
      <c r="A162">
        <v>1184</v>
      </c>
      <c r="B162">
        <v>41796</v>
      </c>
      <c r="C162">
        <v>6</v>
      </c>
      <c r="D162" t="s">
        <v>82</v>
      </c>
      <c r="E162" t="s">
        <v>83</v>
      </c>
      <c r="F162" t="s">
        <v>84</v>
      </c>
      <c r="G162" t="s">
        <v>85</v>
      </c>
      <c r="H162">
        <v>99999</v>
      </c>
      <c r="I162" t="s">
        <v>30</v>
      </c>
      <c r="J162" t="s">
        <v>86</v>
      </c>
      <c r="K162" t="s">
        <v>61</v>
      </c>
      <c r="L162">
        <v>41798</v>
      </c>
      <c r="M162" t="s">
        <v>62</v>
      </c>
      <c r="N162" t="s">
        <v>87</v>
      </c>
      <c r="O162" t="s">
        <v>83</v>
      </c>
      <c r="P162" t="s">
        <v>84</v>
      </c>
      <c r="Q162" t="s">
        <v>85</v>
      </c>
      <c r="R162">
        <v>99999</v>
      </c>
      <c r="S162" t="s">
        <v>30</v>
      </c>
      <c r="T162" t="s">
        <v>35</v>
      </c>
      <c r="U162" t="s">
        <v>49</v>
      </c>
      <c r="V162" t="s">
        <v>39</v>
      </c>
      <c r="W162">
        <v>30</v>
      </c>
      <c r="X162">
        <v>46</v>
      </c>
      <c r="Y162">
        <v>1380</v>
      </c>
      <c r="Z162">
        <v>135.24</v>
      </c>
    </row>
    <row r="163" spans="1:26" x14ac:dyDescent="0.35">
      <c r="A163">
        <v>1185</v>
      </c>
      <c r="B163">
        <v>41796</v>
      </c>
      <c r="C163">
        <v>6</v>
      </c>
      <c r="D163" t="s">
        <v>82</v>
      </c>
      <c r="E163" t="s">
        <v>83</v>
      </c>
      <c r="F163" t="s">
        <v>84</v>
      </c>
      <c r="G163" t="s">
        <v>85</v>
      </c>
      <c r="H163">
        <v>99999</v>
      </c>
      <c r="I163" t="s">
        <v>30</v>
      </c>
      <c r="J163" t="s">
        <v>86</v>
      </c>
      <c r="K163" t="s">
        <v>61</v>
      </c>
      <c r="L163">
        <v>41798</v>
      </c>
      <c r="M163" t="s">
        <v>62</v>
      </c>
      <c r="N163" t="s">
        <v>87</v>
      </c>
      <c r="O163" t="s">
        <v>83</v>
      </c>
      <c r="P163" t="s">
        <v>84</v>
      </c>
      <c r="Q163" t="s">
        <v>85</v>
      </c>
      <c r="R163">
        <v>99999</v>
      </c>
      <c r="S163" t="s">
        <v>30</v>
      </c>
      <c r="T163" t="s">
        <v>35</v>
      </c>
      <c r="U163" t="s">
        <v>50</v>
      </c>
      <c r="V163" t="s">
        <v>39</v>
      </c>
      <c r="W163">
        <v>53</v>
      </c>
      <c r="X163">
        <v>14</v>
      </c>
      <c r="Y163">
        <v>742</v>
      </c>
      <c r="Z163">
        <v>74.2</v>
      </c>
    </row>
    <row r="164" spans="1:26" x14ac:dyDescent="0.35">
      <c r="A164">
        <v>1186</v>
      </c>
      <c r="B164">
        <v>41794</v>
      </c>
      <c r="C164">
        <v>4</v>
      </c>
      <c r="D164" t="s">
        <v>40</v>
      </c>
      <c r="E164" t="s">
        <v>41</v>
      </c>
      <c r="F164" t="s">
        <v>42</v>
      </c>
      <c r="G164" t="s">
        <v>43</v>
      </c>
      <c r="H164">
        <v>99999</v>
      </c>
      <c r="I164" t="s">
        <v>30</v>
      </c>
      <c r="J164" t="s">
        <v>44</v>
      </c>
      <c r="K164" t="s">
        <v>45</v>
      </c>
      <c r="N164" t="s">
        <v>47</v>
      </c>
      <c r="O164" t="s">
        <v>41</v>
      </c>
      <c r="P164" t="s">
        <v>42</v>
      </c>
      <c r="Q164" t="s">
        <v>43</v>
      </c>
      <c r="R164">
        <v>99999</v>
      </c>
      <c r="S164" t="s">
        <v>30</v>
      </c>
      <c r="U164" t="s">
        <v>145</v>
      </c>
      <c r="V164" t="s">
        <v>132</v>
      </c>
      <c r="W164">
        <v>38</v>
      </c>
      <c r="X164">
        <v>85</v>
      </c>
      <c r="Y164">
        <v>3230</v>
      </c>
      <c r="Z164">
        <v>319.77</v>
      </c>
    </row>
    <row r="165" spans="1:26" x14ac:dyDescent="0.35">
      <c r="A165">
        <v>1187</v>
      </c>
      <c r="B165">
        <v>41793</v>
      </c>
      <c r="C165">
        <v>3</v>
      </c>
      <c r="D165" t="s">
        <v>74</v>
      </c>
      <c r="E165" t="s">
        <v>75</v>
      </c>
      <c r="F165" t="s">
        <v>76</v>
      </c>
      <c r="G165" t="s">
        <v>77</v>
      </c>
      <c r="H165">
        <v>99999</v>
      </c>
      <c r="I165" t="s">
        <v>30</v>
      </c>
      <c r="J165" t="s">
        <v>31</v>
      </c>
      <c r="K165" t="s">
        <v>32</v>
      </c>
      <c r="N165" t="s">
        <v>78</v>
      </c>
      <c r="O165" t="s">
        <v>75</v>
      </c>
      <c r="P165" t="s">
        <v>76</v>
      </c>
      <c r="Q165" t="s">
        <v>77</v>
      </c>
      <c r="R165">
        <v>99999</v>
      </c>
      <c r="S165" t="s">
        <v>30</v>
      </c>
      <c r="U165" t="s">
        <v>103</v>
      </c>
      <c r="V165" t="s">
        <v>37</v>
      </c>
      <c r="W165">
        <v>2.99</v>
      </c>
      <c r="X165">
        <v>88</v>
      </c>
      <c r="Y165">
        <v>263.12</v>
      </c>
      <c r="Z165">
        <v>25.522639999999999</v>
      </c>
    </row>
    <row r="166" spans="1:26" x14ac:dyDescent="0.35">
      <c r="A166">
        <v>1188</v>
      </c>
      <c r="B166">
        <v>41821</v>
      </c>
      <c r="C166">
        <v>1</v>
      </c>
      <c r="D166" t="s">
        <v>118</v>
      </c>
      <c r="E166" t="s">
        <v>119</v>
      </c>
      <c r="F166" t="s">
        <v>120</v>
      </c>
      <c r="G166" t="s">
        <v>121</v>
      </c>
      <c r="H166">
        <v>99999</v>
      </c>
      <c r="I166" t="s">
        <v>30</v>
      </c>
      <c r="J166" t="s">
        <v>60</v>
      </c>
      <c r="K166" t="s">
        <v>61</v>
      </c>
      <c r="N166" t="s">
        <v>122</v>
      </c>
      <c r="O166" t="s">
        <v>119</v>
      </c>
      <c r="P166" t="s">
        <v>120</v>
      </c>
      <c r="Q166" t="s">
        <v>121</v>
      </c>
      <c r="R166">
        <v>99999</v>
      </c>
      <c r="S166" t="s">
        <v>30</v>
      </c>
      <c r="U166" t="s">
        <v>103</v>
      </c>
      <c r="V166" t="s">
        <v>37</v>
      </c>
      <c r="W166">
        <v>2.99</v>
      </c>
      <c r="X166">
        <v>81</v>
      </c>
      <c r="Y166">
        <v>242.19000000000003</v>
      </c>
      <c r="Z166">
        <v>23.976810000000004</v>
      </c>
    </row>
    <row r="167" spans="1:26" x14ac:dyDescent="0.35">
      <c r="A167">
        <v>1189</v>
      </c>
      <c r="B167">
        <v>41848</v>
      </c>
      <c r="C167">
        <v>28</v>
      </c>
      <c r="D167" t="s">
        <v>90</v>
      </c>
      <c r="E167" t="s">
        <v>91</v>
      </c>
      <c r="F167" t="s">
        <v>92</v>
      </c>
      <c r="G167" t="s">
        <v>93</v>
      </c>
      <c r="H167">
        <v>99999</v>
      </c>
      <c r="I167" t="s">
        <v>30</v>
      </c>
      <c r="J167" t="s">
        <v>94</v>
      </c>
      <c r="K167" t="s">
        <v>95</v>
      </c>
      <c r="L167">
        <v>41850</v>
      </c>
      <c r="M167" t="s">
        <v>62</v>
      </c>
      <c r="N167" t="s">
        <v>96</v>
      </c>
      <c r="O167" t="s">
        <v>91</v>
      </c>
      <c r="P167" t="s">
        <v>92</v>
      </c>
      <c r="Q167" t="s">
        <v>93</v>
      </c>
      <c r="R167">
        <v>99999</v>
      </c>
      <c r="S167" t="s">
        <v>30</v>
      </c>
      <c r="T167" t="s">
        <v>48</v>
      </c>
      <c r="U167" t="s">
        <v>80</v>
      </c>
      <c r="V167" t="s">
        <v>81</v>
      </c>
      <c r="W167">
        <v>9.65</v>
      </c>
      <c r="X167">
        <v>33</v>
      </c>
      <c r="Y167">
        <v>318.45</v>
      </c>
      <c r="Z167">
        <v>30.252749999999999</v>
      </c>
    </row>
    <row r="168" spans="1:26" x14ac:dyDescent="0.35">
      <c r="A168">
        <v>1190</v>
      </c>
      <c r="B168">
        <v>41848</v>
      </c>
      <c r="C168">
        <v>28</v>
      </c>
      <c r="D168" t="s">
        <v>90</v>
      </c>
      <c r="E168" t="s">
        <v>91</v>
      </c>
      <c r="F168" t="s">
        <v>92</v>
      </c>
      <c r="G168" t="s">
        <v>93</v>
      </c>
      <c r="H168">
        <v>99999</v>
      </c>
      <c r="I168" t="s">
        <v>30</v>
      </c>
      <c r="J168" t="s">
        <v>94</v>
      </c>
      <c r="K168" t="s">
        <v>95</v>
      </c>
      <c r="L168">
        <v>41850</v>
      </c>
      <c r="M168" t="s">
        <v>62</v>
      </c>
      <c r="N168" t="s">
        <v>96</v>
      </c>
      <c r="O168" t="s">
        <v>91</v>
      </c>
      <c r="P168" t="s">
        <v>92</v>
      </c>
      <c r="Q168" t="s">
        <v>93</v>
      </c>
      <c r="R168">
        <v>99999</v>
      </c>
      <c r="S168" t="s">
        <v>30</v>
      </c>
      <c r="T168" t="s">
        <v>48</v>
      </c>
      <c r="U168" t="s">
        <v>123</v>
      </c>
      <c r="V168" t="s">
        <v>124</v>
      </c>
      <c r="W168">
        <v>18.399999999999999</v>
      </c>
      <c r="X168">
        <v>47</v>
      </c>
      <c r="Y168">
        <v>864.8</v>
      </c>
      <c r="Z168">
        <v>90.804000000000002</v>
      </c>
    </row>
    <row r="169" spans="1:26" x14ac:dyDescent="0.35">
      <c r="A169">
        <v>1191</v>
      </c>
      <c r="B169">
        <v>41829</v>
      </c>
      <c r="C169">
        <v>9</v>
      </c>
      <c r="D169" t="s">
        <v>125</v>
      </c>
      <c r="E169" t="s">
        <v>126</v>
      </c>
      <c r="F169" t="s">
        <v>127</v>
      </c>
      <c r="G169" t="s">
        <v>128</v>
      </c>
      <c r="H169">
        <v>99999</v>
      </c>
      <c r="I169" t="s">
        <v>30</v>
      </c>
      <c r="J169" t="s">
        <v>129</v>
      </c>
      <c r="K169" t="s">
        <v>32</v>
      </c>
      <c r="L169">
        <v>41831</v>
      </c>
      <c r="M169" t="s">
        <v>46</v>
      </c>
      <c r="N169" t="s">
        <v>130</v>
      </c>
      <c r="O169" t="s">
        <v>126</v>
      </c>
      <c r="P169" t="s">
        <v>127</v>
      </c>
      <c r="Q169" t="s">
        <v>128</v>
      </c>
      <c r="R169">
        <v>99999</v>
      </c>
      <c r="S169" t="s">
        <v>30</v>
      </c>
      <c r="T169" t="s">
        <v>35</v>
      </c>
      <c r="U169" t="s">
        <v>131</v>
      </c>
      <c r="V169" t="s">
        <v>132</v>
      </c>
      <c r="W169">
        <v>19.5</v>
      </c>
      <c r="X169">
        <v>61</v>
      </c>
      <c r="Y169">
        <v>1189.5</v>
      </c>
      <c r="Z169">
        <v>123.70800000000001</v>
      </c>
    </row>
    <row r="170" spans="1:26" x14ac:dyDescent="0.35">
      <c r="A170">
        <v>1192</v>
      </c>
      <c r="B170">
        <v>41829</v>
      </c>
      <c r="C170">
        <v>9</v>
      </c>
      <c r="D170" t="s">
        <v>125</v>
      </c>
      <c r="E170" t="s">
        <v>126</v>
      </c>
      <c r="F170" t="s">
        <v>127</v>
      </c>
      <c r="G170" t="s">
        <v>128</v>
      </c>
      <c r="H170">
        <v>99999</v>
      </c>
      <c r="I170" t="s">
        <v>30</v>
      </c>
      <c r="J170" t="s">
        <v>129</v>
      </c>
      <c r="K170" t="s">
        <v>32</v>
      </c>
      <c r="L170">
        <v>41831</v>
      </c>
      <c r="M170" t="s">
        <v>46</v>
      </c>
      <c r="N170" t="s">
        <v>130</v>
      </c>
      <c r="O170" t="s">
        <v>126</v>
      </c>
      <c r="P170" t="s">
        <v>127</v>
      </c>
      <c r="Q170" t="s">
        <v>128</v>
      </c>
      <c r="R170">
        <v>99999</v>
      </c>
      <c r="S170" t="s">
        <v>30</v>
      </c>
      <c r="T170" t="s">
        <v>35</v>
      </c>
      <c r="U170" t="s">
        <v>133</v>
      </c>
      <c r="V170" t="s">
        <v>134</v>
      </c>
      <c r="W170">
        <v>34.799999999999997</v>
      </c>
      <c r="X170">
        <v>27</v>
      </c>
      <c r="Y170">
        <v>939.59999999999991</v>
      </c>
      <c r="Z170">
        <v>95.839199999999991</v>
      </c>
    </row>
    <row r="171" spans="1:26" x14ac:dyDescent="0.35">
      <c r="A171">
        <v>1193</v>
      </c>
      <c r="B171">
        <v>41826</v>
      </c>
      <c r="C171">
        <v>6</v>
      </c>
      <c r="D171" t="s">
        <v>82</v>
      </c>
      <c r="E171" t="s">
        <v>83</v>
      </c>
      <c r="F171" t="s">
        <v>84</v>
      </c>
      <c r="G171" t="s">
        <v>85</v>
      </c>
      <c r="H171">
        <v>99999</v>
      </c>
      <c r="I171" t="s">
        <v>30</v>
      </c>
      <c r="J171" t="s">
        <v>86</v>
      </c>
      <c r="K171" t="s">
        <v>61</v>
      </c>
      <c r="L171">
        <v>41828</v>
      </c>
      <c r="M171" t="s">
        <v>33</v>
      </c>
      <c r="N171" t="s">
        <v>87</v>
      </c>
      <c r="O171" t="s">
        <v>83</v>
      </c>
      <c r="P171" t="s">
        <v>84</v>
      </c>
      <c r="Q171" t="s">
        <v>85</v>
      </c>
      <c r="R171">
        <v>99999</v>
      </c>
      <c r="S171" t="s">
        <v>30</v>
      </c>
      <c r="T171" t="s">
        <v>48</v>
      </c>
      <c r="U171" t="s">
        <v>36</v>
      </c>
      <c r="V171" t="s">
        <v>37</v>
      </c>
      <c r="W171">
        <v>14</v>
      </c>
      <c r="X171">
        <v>84</v>
      </c>
      <c r="Y171">
        <v>1176</v>
      </c>
      <c r="Z171">
        <v>118.77600000000001</v>
      </c>
    </row>
    <row r="172" spans="1:26" x14ac:dyDescent="0.35">
      <c r="A172">
        <v>1194</v>
      </c>
      <c r="B172">
        <v>41828</v>
      </c>
      <c r="C172">
        <v>8</v>
      </c>
      <c r="D172" t="s">
        <v>56</v>
      </c>
      <c r="E172" t="s">
        <v>57</v>
      </c>
      <c r="F172" t="s">
        <v>58</v>
      </c>
      <c r="G172" t="s">
        <v>59</v>
      </c>
      <c r="H172">
        <v>99999</v>
      </c>
      <c r="I172" t="s">
        <v>30</v>
      </c>
      <c r="J172" t="s">
        <v>60</v>
      </c>
      <c r="K172" t="s">
        <v>61</v>
      </c>
      <c r="L172">
        <v>41830</v>
      </c>
      <c r="M172" t="s">
        <v>33</v>
      </c>
      <c r="N172" t="s">
        <v>63</v>
      </c>
      <c r="O172" t="s">
        <v>57</v>
      </c>
      <c r="P172" t="s">
        <v>58</v>
      </c>
      <c r="Q172" t="s">
        <v>59</v>
      </c>
      <c r="R172">
        <v>99999</v>
      </c>
      <c r="S172" t="s">
        <v>30</v>
      </c>
      <c r="T172" t="s">
        <v>35</v>
      </c>
      <c r="U172" t="s">
        <v>88</v>
      </c>
      <c r="V172" t="s">
        <v>89</v>
      </c>
      <c r="W172">
        <v>40</v>
      </c>
      <c r="X172">
        <v>91</v>
      </c>
      <c r="Y172">
        <v>3640</v>
      </c>
      <c r="Z172">
        <v>360.36</v>
      </c>
    </row>
    <row r="173" spans="1:26" x14ac:dyDescent="0.35">
      <c r="A173">
        <v>1195</v>
      </c>
      <c r="B173">
        <v>41828</v>
      </c>
      <c r="C173">
        <v>8</v>
      </c>
      <c r="D173" t="s">
        <v>56</v>
      </c>
      <c r="E173" t="s">
        <v>57</v>
      </c>
      <c r="F173" t="s">
        <v>58</v>
      </c>
      <c r="G173" t="s">
        <v>59</v>
      </c>
      <c r="H173">
        <v>99999</v>
      </c>
      <c r="I173" t="s">
        <v>30</v>
      </c>
      <c r="J173" t="s">
        <v>60</v>
      </c>
      <c r="K173" t="s">
        <v>61</v>
      </c>
      <c r="L173">
        <v>41830</v>
      </c>
      <c r="M173" t="s">
        <v>33</v>
      </c>
      <c r="N173" t="s">
        <v>63</v>
      </c>
      <c r="O173" t="s">
        <v>57</v>
      </c>
      <c r="P173" t="s">
        <v>58</v>
      </c>
      <c r="Q173" t="s">
        <v>59</v>
      </c>
      <c r="R173">
        <v>99999</v>
      </c>
      <c r="S173" t="s">
        <v>30</v>
      </c>
      <c r="T173" t="s">
        <v>35</v>
      </c>
      <c r="U173" t="s">
        <v>64</v>
      </c>
      <c r="V173" t="s">
        <v>65</v>
      </c>
      <c r="W173">
        <v>9.1999999999999993</v>
      </c>
      <c r="X173">
        <v>36</v>
      </c>
      <c r="Y173">
        <v>331.2</v>
      </c>
      <c r="Z173">
        <v>34.444800000000001</v>
      </c>
    </row>
    <row r="174" spans="1:26" x14ac:dyDescent="0.35">
      <c r="A174">
        <v>1196</v>
      </c>
      <c r="B174">
        <v>41845</v>
      </c>
      <c r="C174">
        <v>25</v>
      </c>
      <c r="D174" t="s">
        <v>137</v>
      </c>
      <c r="E174" t="s">
        <v>138</v>
      </c>
      <c r="F174" t="s">
        <v>99</v>
      </c>
      <c r="G174" t="s">
        <v>100</v>
      </c>
      <c r="H174">
        <v>99999</v>
      </c>
      <c r="I174" t="s">
        <v>30</v>
      </c>
      <c r="J174" t="s">
        <v>101</v>
      </c>
      <c r="K174" t="s">
        <v>45</v>
      </c>
      <c r="L174">
        <v>41847</v>
      </c>
      <c r="M174" t="s">
        <v>46</v>
      </c>
      <c r="N174" t="s">
        <v>139</v>
      </c>
      <c r="O174" t="s">
        <v>138</v>
      </c>
      <c r="P174" t="s">
        <v>99</v>
      </c>
      <c r="Q174" t="s">
        <v>100</v>
      </c>
      <c r="R174">
        <v>99999</v>
      </c>
      <c r="S174" t="s">
        <v>30</v>
      </c>
      <c r="T174" t="s">
        <v>79</v>
      </c>
      <c r="U174" t="s">
        <v>146</v>
      </c>
      <c r="V174" t="s">
        <v>65</v>
      </c>
      <c r="W174">
        <v>10</v>
      </c>
      <c r="X174">
        <v>34</v>
      </c>
      <c r="Y174">
        <v>340</v>
      </c>
      <c r="Z174">
        <v>34.340000000000003</v>
      </c>
    </row>
    <row r="175" spans="1:26" x14ac:dyDescent="0.35">
      <c r="A175">
        <v>1197</v>
      </c>
      <c r="B175">
        <v>41846</v>
      </c>
      <c r="C175">
        <v>26</v>
      </c>
      <c r="D175" t="s">
        <v>140</v>
      </c>
      <c r="E175" t="s">
        <v>141</v>
      </c>
      <c r="F175" t="s">
        <v>115</v>
      </c>
      <c r="G175" t="s">
        <v>116</v>
      </c>
      <c r="H175">
        <v>99999</v>
      </c>
      <c r="I175" t="s">
        <v>30</v>
      </c>
      <c r="J175" t="s">
        <v>94</v>
      </c>
      <c r="K175" t="s">
        <v>95</v>
      </c>
      <c r="L175">
        <v>41848</v>
      </c>
      <c r="M175" t="s">
        <v>62</v>
      </c>
      <c r="N175" t="s">
        <v>142</v>
      </c>
      <c r="O175" t="s">
        <v>141</v>
      </c>
      <c r="P175" t="s">
        <v>115</v>
      </c>
      <c r="Q175" t="s">
        <v>116</v>
      </c>
      <c r="R175">
        <v>99999</v>
      </c>
      <c r="S175" t="s">
        <v>30</v>
      </c>
      <c r="T175" t="s">
        <v>48</v>
      </c>
      <c r="U175" t="s">
        <v>147</v>
      </c>
      <c r="V175" t="s">
        <v>148</v>
      </c>
      <c r="W175">
        <v>21.35</v>
      </c>
      <c r="X175">
        <v>81</v>
      </c>
      <c r="Y175">
        <v>1729.3500000000001</v>
      </c>
      <c r="Z175">
        <v>178.12305000000003</v>
      </c>
    </row>
    <row r="176" spans="1:26" x14ac:dyDescent="0.35">
      <c r="A176">
        <v>1198</v>
      </c>
      <c r="B176">
        <v>41846</v>
      </c>
      <c r="C176">
        <v>26</v>
      </c>
      <c r="D176" t="s">
        <v>140</v>
      </c>
      <c r="E176" t="s">
        <v>141</v>
      </c>
      <c r="F176" t="s">
        <v>115</v>
      </c>
      <c r="G176" t="s">
        <v>116</v>
      </c>
      <c r="H176">
        <v>99999</v>
      </c>
      <c r="I176" t="s">
        <v>30</v>
      </c>
      <c r="J176" t="s">
        <v>94</v>
      </c>
      <c r="K176" t="s">
        <v>95</v>
      </c>
      <c r="L176">
        <v>41848</v>
      </c>
      <c r="M176" t="s">
        <v>62</v>
      </c>
      <c r="N176" t="s">
        <v>142</v>
      </c>
      <c r="O176" t="s">
        <v>141</v>
      </c>
      <c r="P176" t="s">
        <v>115</v>
      </c>
      <c r="Q176" t="s">
        <v>116</v>
      </c>
      <c r="R176">
        <v>99999</v>
      </c>
      <c r="S176" t="s">
        <v>30</v>
      </c>
      <c r="T176" t="s">
        <v>48</v>
      </c>
      <c r="U176" t="s">
        <v>80</v>
      </c>
      <c r="V176" t="s">
        <v>81</v>
      </c>
      <c r="W176">
        <v>9.65</v>
      </c>
      <c r="X176">
        <v>25</v>
      </c>
      <c r="Y176">
        <v>241.25</v>
      </c>
      <c r="Z176">
        <v>23.401250000000001</v>
      </c>
    </row>
    <row r="177" spans="1:26" x14ac:dyDescent="0.35">
      <c r="A177">
        <v>1199</v>
      </c>
      <c r="B177">
        <v>41846</v>
      </c>
      <c r="C177">
        <v>26</v>
      </c>
      <c r="D177" t="s">
        <v>140</v>
      </c>
      <c r="E177" t="s">
        <v>141</v>
      </c>
      <c r="F177" t="s">
        <v>115</v>
      </c>
      <c r="G177" t="s">
        <v>116</v>
      </c>
      <c r="H177">
        <v>99999</v>
      </c>
      <c r="I177" t="s">
        <v>30</v>
      </c>
      <c r="J177" t="s">
        <v>94</v>
      </c>
      <c r="K177" t="s">
        <v>95</v>
      </c>
      <c r="L177">
        <v>41848</v>
      </c>
      <c r="M177" t="s">
        <v>62</v>
      </c>
      <c r="N177" t="s">
        <v>142</v>
      </c>
      <c r="O177" t="s">
        <v>141</v>
      </c>
      <c r="P177" t="s">
        <v>115</v>
      </c>
      <c r="Q177" t="s">
        <v>116</v>
      </c>
      <c r="R177">
        <v>99999</v>
      </c>
      <c r="S177" t="s">
        <v>30</v>
      </c>
      <c r="T177" t="s">
        <v>48</v>
      </c>
      <c r="U177" t="s">
        <v>123</v>
      </c>
      <c r="V177" t="s">
        <v>124</v>
      </c>
      <c r="W177">
        <v>18.399999999999999</v>
      </c>
      <c r="X177">
        <v>12</v>
      </c>
      <c r="Y177">
        <v>220.79999999999998</v>
      </c>
      <c r="Z177">
        <v>22.08</v>
      </c>
    </row>
    <row r="178" spans="1:26" x14ac:dyDescent="0.35">
      <c r="A178">
        <v>1200</v>
      </c>
      <c r="B178">
        <v>41849</v>
      </c>
      <c r="C178">
        <v>29</v>
      </c>
      <c r="D178" t="s">
        <v>66</v>
      </c>
      <c r="E178" t="s">
        <v>67</v>
      </c>
      <c r="F178" t="s">
        <v>68</v>
      </c>
      <c r="G178" t="s">
        <v>69</v>
      </c>
      <c r="H178">
        <v>99999</v>
      </c>
      <c r="I178" t="s">
        <v>30</v>
      </c>
      <c r="J178" t="s">
        <v>70</v>
      </c>
      <c r="K178" t="s">
        <v>32</v>
      </c>
      <c r="L178">
        <v>41851</v>
      </c>
      <c r="M178" t="s">
        <v>33</v>
      </c>
      <c r="N178" t="s">
        <v>71</v>
      </c>
      <c r="O178" t="s">
        <v>67</v>
      </c>
      <c r="P178" t="s">
        <v>68</v>
      </c>
      <c r="Q178" t="s">
        <v>69</v>
      </c>
      <c r="R178">
        <v>99999</v>
      </c>
      <c r="S178" t="s">
        <v>30</v>
      </c>
      <c r="T178" t="s">
        <v>35</v>
      </c>
      <c r="U178" t="s">
        <v>36</v>
      </c>
      <c r="V178" t="s">
        <v>37</v>
      </c>
      <c r="W178">
        <v>14</v>
      </c>
      <c r="X178">
        <v>23</v>
      </c>
      <c r="Y178">
        <v>322</v>
      </c>
      <c r="Z178">
        <v>30.912000000000003</v>
      </c>
    </row>
    <row r="179" spans="1:26" x14ac:dyDescent="0.35">
      <c r="A179">
        <v>1201</v>
      </c>
      <c r="B179">
        <v>41826</v>
      </c>
      <c r="C179">
        <v>6</v>
      </c>
      <c r="D179" t="s">
        <v>82</v>
      </c>
      <c r="E179" t="s">
        <v>83</v>
      </c>
      <c r="F179" t="s">
        <v>84</v>
      </c>
      <c r="G179" t="s">
        <v>85</v>
      </c>
      <c r="H179">
        <v>99999</v>
      </c>
      <c r="I179" t="s">
        <v>30</v>
      </c>
      <c r="J179" t="s">
        <v>86</v>
      </c>
      <c r="K179" t="s">
        <v>61</v>
      </c>
      <c r="L179">
        <v>41828</v>
      </c>
      <c r="M179" t="s">
        <v>62</v>
      </c>
      <c r="N179" t="s">
        <v>87</v>
      </c>
      <c r="O179" t="s">
        <v>83</v>
      </c>
      <c r="P179" t="s">
        <v>84</v>
      </c>
      <c r="Q179" t="s">
        <v>85</v>
      </c>
      <c r="R179">
        <v>99999</v>
      </c>
      <c r="S179" t="s">
        <v>30</v>
      </c>
      <c r="T179" t="s">
        <v>35</v>
      </c>
      <c r="U179" t="s">
        <v>72</v>
      </c>
      <c r="V179" t="s">
        <v>73</v>
      </c>
      <c r="W179">
        <v>12.75</v>
      </c>
      <c r="X179">
        <v>76</v>
      </c>
      <c r="Y179">
        <v>969</v>
      </c>
      <c r="Z179">
        <v>97.869</v>
      </c>
    </row>
    <row r="180" spans="1:26" x14ac:dyDescent="0.35">
      <c r="A180">
        <v>1203</v>
      </c>
      <c r="B180">
        <v>41824</v>
      </c>
      <c r="C180">
        <v>4</v>
      </c>
      <c r="D180" t="s">
        <v>40</v>
      </c>
      <c r="E180" t="s">
        <v>41</v>
      </c>
      <c r="F180" t="s">
        <v>42</v>
      </c>
      <c r="G180" t="s">
        <v>43</v>
      </c>
      <c r="H180">
        <v>99999</v>
      </c>
      <c r="I180" t="s">
        <v>30</v>
      </c>
      <c r="J180" t="s">
        <v>44</v>
      </c>
      <c r="K180" t="s">
        <v>45</v>
      </c>
      <c r="L180">
        <v>41826</v>
      </c>
      <c r="M180" t="s">
        <v>46</v>
      </c>
      <c r="N180" t="s">
        <v>47</v>
      </c>
      <c r="O180" t="s">
        <v>41</v>
      </c>
      <c r="P180" t="s">
        <v>42</v>
      </c>
      <c r="Q180" t="s">
        <v>43</v>
      </c>
      <c r="R180">
        <v>99999</v>
      </c>
      <c r="S180" t="s">
        <v>30</v>
      </c>
      <c r="T180" t="s">
        <v>48</v>
      </c>
      <c r="U180" t="s">
        <v>149</v>
      </c>
      <c r="V180" t="s">
        <v>110</v>
      </c>
      <c r="W180">
        <v>81</v>
      </c>
      <c r="X180">
        <v>55</v>
      </c>
      <c r="Y180">
        <v>4455</v>
      </c>
      <c r="Z180">
        <v>445.5</v>
      </c>
    </row>
    <row r="181" spans="1:26" x14ac:dyDescent="0.35">
      <c r="A181">
        <v>1204</v>
      </c>
      <c r="B181">
        <v>41824</v>
      </c>
      <c r="C181">
        <v>4</v>
      </c>
      <c r="D181" t="s">
        <v>40</v>
      </c>
      <c r="E181" t="s">
        <v>41</v>
      </c>
      <c r="F181" t="s">
        <v>42</v>
      </c>
      <c r="G181" t="s">
        <v>43</v>
      </c>
      <c r="H181">
        <v>99999</v>
      </c>
      <c r="I181" t="s">
        <v>30</v>
      </c>
      <c r="J181" t="s">
        <v>44</v>
      </c>
      <c r="K181" t="s">
        <v>45</v>
      </c>
      <c r="L181">
        <v>41826</v>
      </c>
      <c r="M181" t="s">
        <v>46</v>
      </c>
      <c r="N181" t="s">
        <v>47</v>
      </c>
      <c r="O181" t="s">
        <v>41</v>
      </c>
      <c r="P181" t="s">
        <v>42</v>
      </c>
      <c r="Q181" t="s">
        <v>43</v>
      </c>
      <c r="R181">
        <v>99999</v>
      </c>
      <c r="S181" t="s">
        <v>30</v>
      </c>
      <c r="T181" t="s">
        <v>48</v>
      </c>
      <c r="U181" t="s">
        <v>150</v>
      </c>
      <c r="V181" t="s">
        <v>151</v>
      </c>
      <c r="W181">
        <v>7</v>
      </c>
      <c r="X181">
        <v>19</v>
      </c>
      <c r="Y181">
        <v>133</v>
      </c>
      <c r="Z181">
        <v>12.901</v>
      </c>
    </row>
    <row r="182" spans="1:26" x14ac:dyDescent="0.35">
      <c r="A182">
        <v>1206</v>
      </c>
      <c r="B182">
        <v>41828</v>
      </c>
      <c r="C182">
        <v>8</v>
      </c>
      <c r="D182" t="s">
        <v>56</v>
      </c>
      <c r="E182" t="s">
        <v>57</v>
      </c>
      <c r="F182" t="s">
        <v>58</v>
      </c>
      <c r="G182" t="s">
        <v>59</v>
      </c>
      <c r="H182">
        <v>99999</v>
      </c>
      <c r="I182" t="s">
        <v>30</v>
      </c>
      <c r="J182" t="s">
        <v>60</v>
      </c>
      <c r="K182" t="s">
        <v>61</v>
      </c>
      <c r="L182">
        <v>41830</v>
      </c>
      <c r="M182" t="s">
        <v>62</v>
      </c>
      <c r="N182" t="s">
        <v>63</v>
      </c>
      <c r="O182" t="s">
        <v>57</v>
      </c>
      <c r="P182" t="s">
        <v>58</v>
      </c>
      <c r="Q182" t="s">
        <v>59</v>
      </c>
      <c r="R182">
        <v>99999</v>
      </c>
      <c r="S182" t="s">
        <v>30</v>
      </c>
      <c r="T182" t="s">
        <v>48</v>
      </c>
      <c r="U182" t="s">
        <v>133</v>
      </c>
      <c r="V182" t="s">
        <v>134</v>
      </c>
      <c r="W182">
        <v>34.799999999999997</v>
      </c>
      <c r="X182">
        <v>27</v>
      </c>
      <c r="Y182">
        <v>939.59999999999991</v>
      </c>
      <c r="Z182">
        <v>89.261999999999986</v>
      </c>
    </row>
    <row r="183" spans="1:26" x14ac:dyDescent="0.35">
      <c r="A183">
        <v>1209</v>
      </c>
      <c r="B183">
        <v>41823</v>
      </c>
      <c r="C183">
        <v>3</v>
      </c>
      <c r="D183" t="s">
        <v>74</v>
      </c>
      <c r="E183" t="s">
        <v>75</v>
      </c>
      <c r="F183" t="s">
        <v>76</v>
      </c>
      <c r="G183" t="s">
        <v>77</v>
      </c>
      <c r="H183">
        <v>99999</v>
      </c>
      <c r="I183" t="s">
        <v>30</v>
      </c>
      <c r="J183" t="s">
        <v>31</v>
      </c>
      <c r="K183" t="s">
        <v>32</v>
      </c>
      <c r="L183">
        <v>41825</v>
      </c>
      <c r="M183" t="s">
        <v>33</v>
      </c>
      <c r="N183" t="s">
        <v>78</v>
      </c>
      <c r="O183" t="s">
        <v>75</v>
      </c>
      <c r="P183" t="s">
        <v>76</v>
      </c>
      <c r="Q183" t="s">
        <v>77</v>
      </c>
      <c r="R183">
        <v>99999</v>
      </c>
      <c r="S183" t="s">
        <v>30</v>
      </c>
      <c r="T183" t="s">
        <v>79</v>
      </c>
      <c r="U183" t="s">
        <v>135</v>
      </c>
      <c r="V183" t="s">
        <v>112</v>
      </c>
      <c r="W183">
        <v>10</v>
      </c>
      <c r="X183">
        <v>99</v>
      </c>
      <c r="Y183">
        <v>990</v>
      </c>
      <c r="Z183">
        <v>95.039999999999992</v>
      </c>
    </row>
    <row r="184" spans="1:26" x14ac:dyDescent="0.35">
      <c r="A184">
        <v>1210</v>
      </c>
      <c r="B184">
        <v>41823</v>
      </c>
      <c r="C184">
        <v>3</v>
      </c>
      <c r="D184" t="s">
        <v>74</v>
      </c>
      <c r="E184" t="s">
        <v>75</v>
      </c>
      <c r="F184" t="s">
        <v>76</v>
      </c>
      <c r="G184" t="s">
        <v>77</v>
      </c>
      <c r="H184">
        <v>99999</v>
      </c>
      <c r="I184" t="s">
        <v>30</v>
      </c>
      <c r="J184" t="s">
        <v>31</v>
      </c>
      <c r="K184" t="s">
        <v>32</v>
      </c>
      <c r="L184">
        <v>41825</v>
      </c>
      <c r="M184" t="s">
        <v>33</v>
      </c>
      <c r="N184" t="s">
        <v>78</v>
      </c>
      <c r="O184" t="s">
        <v>75</v>
      </c>
      <c r="P184" t="s">
        <v>76</v>
      </c>
      <c r="Q184" t="s">
        <v>77</v>
      </c>
      <c r="R184">
        <v>99999</v>
      </c>
      <c r="S184" t="s">
        <v>30</v>
      </c>
      <c r="T184" t="s">
        <v>79</v>
      </c>
      <c r="U184" t="s">
        <v>88</v>
      </c>
      <c r="V184" t="s">
        <v>89</v>
      </c>
      <c r="W184">
        <v>40</v>
      </c>
      <c r="X184">
        <v>10</v>
      </c>
      <c r="Y184">
        <v>400</v>
      </c>
      <c r="Z184">
        <v>40</v>
      </c>
    </row>
    <row r="185" spans="1:26" x14ac:dyDescent="0.35">
      <c r="A185">
        <v>1214</v>
      </c>
      <c r="B185">
        <v>41830</v>
      </c>
      <c r="C185">
        <v>10</v>
      </c>
      <c r="D185" t="s">
        <v>97</v>
      </c>
      <c r="E185" t="s">
        <v>98</v>
      </c>
      <c r="F185" t="s">
        <v>99</v>
      </c>
      <c r="G185" t="s">
        <v>100</v>
      </c>
      <c r="H185">
        <v>99999</v>
      </c>
      <c r="I185" t="s">
        <v>30</v>
      </c>
      <c r="J185" t="s">
        <v>101</v>
      </c>
      <c r="K185" t="s">
        <v>45</v>
      </c>
      <c r="L185">
        <v>41832</v>
      </c>
      <c r="M185" t="s">
        <v>33</v>
      </c>
      <c r="N185" t="s">
        <v>102</v>
      </c>
      <c r="O185" t="s">
        <v>98</v>
      </c>
      <c r="P185" t="s">
        <v>99</v>
      </c>
      <c r="Q185" t="s">
        <v>100</v>
      </c>
      <c r="R185">
        <v>99999</v>
      </c>
      <c r="S185" t="s">
        <v>30</v>
      </c>
      <c r="T185" t="s">
        <v>48</v>
      </c>
      <c r="U185" t="s">
        <v>136</v>
      </c>
      <c r="V185" t="s">
        <v>39</v>
      </c>
      <c r="W185">
        <v>10</v>
      </c>
      <c r="X185">
        <v>80</v>
      </c>
      <c r="Y185">
        <v>800</v>
      </c>
      <c r="Z185">
        <v>77.599999999999994</v>
      </c>
    </row>
    <row r="186" spans="1:26" x14ac:dyDescent="0.35">
      <c r="A186">
        <v>1216</v>
      </c>
      <c r="B186">
        <v>41830</v>
      </c>
      <c r="C186">
        <v>10</v>
      </c>
      <c r="D186" t="s">
        <v>97</v>
      </c>
      <c r="E186" t="s">
        <v>98</v>
      </c>
      <c r="F186" t="s">
        <v>99</v>
      </c>
      <c r="G186" t="s">
        <v>100</v>
      </c>
      <c r="H186">
        <v>99999</v>
      </c>
      <c r="I186" t="s">
        <v>30</v>
      </c>
      <c r="J186" t="s">
        <v>101</v>
      </c>
      <c r="K186" t="s">
        <v>45</v>
      </c>
      <c r="M186" t="s">
        <v>46</v>
      </c>
      <c r="N186" t="s">
        <v>102</v>
      </c>
      <c r="O186" t="s">
        <v>98</v>
      </c>
      <c r="P186" t="s">
        <v>99</v>
      </c>
      <c r="Q186" t="s">
        <v>100</v>
      </c>
      <c r="R186">
        <v>99999</v>
      </c>
      <c r="S186" t="s">
        <v>30</v>
      </c>
      <c r="U186" t="s">
        <v>38</v>
      </c>
      <c r="V186" t="s">
        <v>39</v>
      </c>
      <c r="W186">
        <v>3.5</v>
      </c>
      <c r="X186">
        <v>27</v>
      </c>
      <c r="Y186">
        <v>94.5</v>
      </c>
      <c r="Z186">
        <v>9.072000000000001</v>
      </c>
    </row>
    <row r="187" spans="1:26" x14ac:dyDescent="0.35">
      <c r="A187">
        <v>1217</v>
      </c>
      <c r="B187">
        <v>41831</v>
      </c>
      <c r="C187">
        <v>11</v>
      </c>
      <c r="D187" t="s">
        <v>113</v>
      </c>
      <c r="E187" t="s">
        <v>114</v>
      </c>
      <c r="F187" t="s">
        <v>115</v>
      </c>
      <c r="G187" t="s">
        <v>116</v>
      </c>
      <c r="H187">
        <v>99999</v>
      </c>
      <c r="I187" t="s">
        <v>30</v>
      </c>
      <c r="J187" t="s">
        <v>94</v>
      </c>
      <c r="K187" t="s">
        <v>95</v>
      </c>
      <c r="M187" t="s">
        <v>62</v>
      </c>
      <c r="N187" t="s">
        <v>117</v>
      </c>
      <c r="O187" t="s">
        <v>114</v>
      </c>
      <c r="P187" t="s">
        <v>115</v>
      </c>
      <c r="Q187" t="s">
        <v>116</v>
      </c>
      <c r="R187">
        <v>99999</v>
      </c>
      <c r="S187" t="s">
        <v>30</v>
      </c>
      <c r="U187" t="s">
        <v>88</v>
      </c>
      <c r="V187" t="s">
        <v>89</v>
      </c>
      <c r="W187">
        <v>40</v>
      </c>
      <c r="X187">
        <v>97</v>
      </c>
      <c r="Y187">
        <v>3880</v>
      </c>
      <c r="Z187">
        <v>380.24</v>
      </c>
    </row>
    <row r="188" spans="1:26" x14ac:dyDescent="0.35">
      <c r="A188">
        <v>1218</v>
      </c>
      <c r="B188">
        <v>41821</v>
      </c>
      <c r="C188">
        <v>1</v>
      </c>
      <c r="D188" t="s">
        <v>118</v>
      </c>
      <c r="E188" t="s">
        <v>119</v>
      </c>
      <c r="F188" t="s">
        <v>120</v>
      </c>
      <c r="G188" t="s">
        <v>121</v>
      </c>
      <c r="H188">
        <v>99999</v>
      </c>
      <c r="I188" t="s">
        <v>30</v>
      </c>
      <c r="J188" t="s">
        <v>60</v>
      </c>
      <c r="K188" t="s">
        <v>61</v>
      </c>
      <c r="M188" t="s">
        <v>62</v>
      </c>
      <c r="N188" t="s">
        <v>122</v>
      </c>
      <c r="O188" t="s">
        <v>119</v>
      </c>
      <c r="P188" t="s">
        <v>120</v>
      </c>
      <c r="Q188" t="s">
        <v>121</v>
      </c>
      <c r="R188">
        <v>99999</v>
      </c>
      <c r="S188" t="s">
        <v>30</v>
      </c>
      <c r="U188" t="s">
        <v>123</v>
      </c>
      <c r="V188" t="s">
        <v>124</v>
      </c>
      <c r="W188">
        <v>18.399999999999999</v>
      </c>
      <c r="X188">
        <v>42</v>
      </c>
      <c r="Y188">
        <v>772.8</v>
      </c>
      <c r="Z188">
        <v>80.371200000000002</v>
      </c>
    </row>
    <row r="189" spans="1:26" x14ac:dyDescent="0.35">
      <c r="A189">
        <v>1219</v>
      </c>
      <c r="B189">
        <v>41848</v>
      </c>
      <c r="C189">
        <v>28</v>
      </c>
      <c r="D189" t="s">
        <v>90</v>
      </c>
      <c r="E189" t="s">
        <v>91</v>
      </c>
      <c r="F189" t="s">
        <v>92</v>
      </c>
      <c r="G189" t="s">
        <v>93</v>
      </c>
      <c r="H189">
        <v>99999</v>
      </c>
      <c r="I189" t="s">
        <v>30</v>
      </c>
      <c r="J189" t="s">
        <v>94</v>
      </c>
      <c r="K189" t="s">
        <v>95</v>
      </c>
      <c r="L189">
        <v>41850</v>
      </c>
      <c r="M189" t="s">
        <v>62</v>
      </c>
      <c r="N189" t="s">
        <v>96</v>
      </c>
      <c r="O189" t="s">
        <v>91</v>
      </c>
      <c r="P189" t="s">
        <v>92</v>
      </c>
      <c r="Q189" t="s">
        <v>93</v>
      </c>
      <c r="R189">
        <v>99999</v>
      </c>
      <c r="S189" t="s">
        <v>30</v>
      </c>
      <c r="T189" t="s">
        <v>48</v>
      </c>
      <c r="U189" t="s">
        <v>55</v>
      </c>
      <c r="V189" t="s">
        <v>37</v>
      </c>
      <c r="W189">
        <v>46</v>
      </c>
      <c r="X189">
        <v>24</v>
      </c>
      <c r="Y189">
        <v>1104</v>
      </c>
      <c r="Z189">
        <v>105.98399999999999</v>
      </c>
    </row>
    <row r="190" spans="1:26" x14ac:dyDescent="0.35">
      <c r="A190">
        <v>1220</v>
      </c>
      <c r="B190">
        <v>41829</v>
      </c>
      <c r="C190">
        <v>9</v>
      </c>
      <c r="D190" t="s">
        <v>125</v>
      </c>
      <c r="E190" t="s">
        <v>126</v>
      </c>
      <c r="F190" t="s">
        <v>127</v>
      </c>
      <c r="G190" t="s">
        <v>128</v>
      </c>
      <c r="H190">
        <v>99999</v>
      </c>
      <c r="I190" t="s">
        <v>30</v>
      </c>
      <c r="J190" t="s">
        <v>129</v>
      </c>
      <c r="K190" t="s">
        <v>32</v>
      </c>
      <c r="L190">
        <v>41831</v>
      </c>
      <c r="M190" t="s">
        <v>46</v>
      </c>
      <c r="N190" t="s">
        <v>130</v>
      </c>
      <c r="O190" t="s">
        <v>126</v>
      </c>
      <c r="P190" t="s">
        <v>127</v>
      </c>
      <c r="Q190" t="s">
        <v>128</v>
      </c>
      <c r="R190">
        <v>99999</v>
      </c>
      <c r="S190" t="s">
        <v>30</v>
      </c>
      <c r="T190" t="s">
        <v>35</v>
      </c>
      <c r="U190" t="s">
        <v>80</v>
      </c>
      <c r="V190" t="s">
        <v>81</v>
      </c>
      <c r="W190">
        <v>9.65</v>
      </c>
      <c r="X190">
        <v>90</v>
      </c>
      <c r="Y190">
        <v>868.5</v>
      </c>
      <c r="Z190">
        <v>83.376000000000005</v>
      </c>
    </row>
    <row r="191" spans="1:26" x14ac:dyDescent="0.35">
      <c r="A191">
        <v>1221</v>
      </c>
      <c r="B191">
        <v>41826</v>
      </c>
      <c r="C191">
        <v>6</v>
      </c>
      <c r="D191" t="s">
        <v>82</v>
      </c>
      <c r="E191" t="s">
        <v>83</v>
      </c>
      <c r="F191" t="s">
        <v>84</v>
      </c>
      <c r="G191" t="s">
        <v>85</v>
      </c>
      <c r="H191">
        <v>99999</v>
      </c>
      <c r="I191" t="s">
        <v>30</v>
      </c>
      <c r="J191" t="s">
        <v>86</v>
      </c>
      <c r="K191" t="s">
        <v>61</v>
      </c>
      <c r="L191">
        <v>41828</v>
      </c>
      <c r="M191" t="s">
        <v>33</v>
      </c>
      <c r="N191" t="s">
        <v>87</v>
      </c>
      <c r="O191" t="s">
        <v>83</v>
      </c>
      <c r="P191" t="s">
        <v>84</v>
      </c>
      <c r="Q191" t="s">
        <v>85</v>
      </c>
      <c r="R191">
        <v>99999</v>
      </c>
      <c r="S191" t="s">
        <v>30</v>
      </c>
      <c r="T191" t="s">
        <v>48</v>
      </c>
      <c r="U191" t="s">
        <v>72</v>
      </c>
      <c r="V191" t="s">
        <v>73</v>
      </c>
      <c r="W191">
        <v>12.75</v>
      </c>
      <c r="X191">
        <v>28</v>
      </c>
      <c r="Y191">
        <v>357</v>
      </c>
      <c r="Z191">
        <v>35.700000000000003</v>
      </c>
    </row>
    <row r="192" spans="1:26" x14ac:dyDescent="0.35">
      <c r="A192">
        <v>1222</v>
      </c>
      <c r="B192">
        <v>41879</v>
      </c>
      <c r="C192">
        <v>28</v>
      </c>
      <c r="D192" t="s">
        <v>90</v>
      </c>
      <c r="E192" t="s">
        <v>91</v>
      </c>
      <c r="F192" t="s">
        <v>92</v>
      </c>
      <c r="G192" t="s">
        <v>93</v>
      </c>
      <c r="H192">
        <v>99999</v>
      </c>
      <c r="I192" t="s">
        <v>30</v>
      </c>
      <c r="J192" t="s">
        <v>94</v>
      </c>
      <c r="K192" t="s">
        <v>95</v>
      </c>
      <c r="L192">
        <v>41881</v>
      </c>
      <c r="M192" t="s">
        <v>62</v>
      </c>
      <c r="N192" t="s">
        <v>96</v>
      </c>
      <c r="O192" t="s">
        <v>91</v>
      </c>
      <c r="P192" t="s">
        <v>92</v>
      </c>
      <c r="Q192" t="s">
        <v>93</v>
      </c>
      <c r="R192">
        <v>99999</v>
      </c>
      <c r="S192" t="s">
        <v>30</v>
      </c>
      <c r="T192" t="s">
        <v>35</v>
      </c>
      <c r="U192" t="s">
        <v>55</v>
      </c>
      <c r="V192" t="s">
        <v>37</v>
      </c>
      <c r="W192">
        <v>46</v>
      </c>
      <c r="X192">
        <v>28</v>
      </c>
      <c r="Y192">
        <v>1288</v>
      </c>
      <c r="Z192">
        <v>133.95200000000003</v>
      </c>
    </row>
    <row r="193" spans="1:26" x14ac:dyDescent="0.35">
      <c r="A193">
        <v>1223</v>
      </c>
      <c r="B193">
        <v>41859</v>
      </c>
      <c r="C193">
        <v>8</v>
      </c>
      <c r="D193" t="s">
        <v>56</v>
      </c>
      <c r="E193" t="s">
        <v>57</v>
      </c>
      <c r="F193" t="s">
        <v>58</v>
      </c>
      <c r="G193" t="s">
        <v>59</v>
      </c>
      <c r="H193">
        <v>99999</v>
      </c>
      <c r="I193" t="s">
        <v>30</v>
      </c>
      <c r="J193" t="s">
        <v>60</v>
      </c>
      <c r="K193" t="s">
        <v>61</v>
      </c>
      <c r="L193">
        <v>41861</v>
      </c>
      <c r="M193" t="s">
        <v>62</v>
      </c>
      <c r="N193" t="s">
        <v>63</v>
      </c>
      <c r="O193" t="s">
        <v>57</v>
      </c>
      <c r="P193" t="s">
        <v>58</v>
      </c>
      <c r="Q193" t="s">
        <v>59</v>
      </c>
      <c r="R193">
        <v>99999</v>
      </c>
      <c r="S193" t="s">
        <v>30</v>
      </c>
      <c r="T193" t="s">
        <v>35</v>
      </c>
      <c r="U193" t="s">
        <v>72</v>
      </c>
      <c r="V193" t="s">
        <v>73</v>
      </c>
      <c r="W193">
        <v>12.75</v>
      </c>
      <c r="X193">
        <v>57</v>
      </c>
      <c r="Y193">
        <v>726.75</v>
      </c>
      <c r="Z193">
        <v>69.768000000000001</v>
      </c>
    </row>
    <row r="194" spans="1:26" x14ac:dyDescent="0.35">
      <c r="A194">
        <v>1224</v>
      </c>
      <c r="B194">
        <v>41861</v>
      </c>
      <c r="C194">
        <v>10</v>
      </c>
      <c r="D194" t="s">
        <v>97</v>
      </c>
      <c r="E194" t="s">
        <v>98</v>
      </c>
      <c r="F194" t="s">
        <v>99</v>
      </c>
      <c r="G194" t="s">
        <v>100</v>
      </c>
      <c r="H194">
        <v>99999</v>
      </c>
      <c r="I194" t="s">
        <v>30</v>
      </c>
      <c r="J194" t="s">
        <v>101</v>
      </c>
      <c r="K194" t="s">
        <v>45</v>
      </c>
      <c r="L194">
        <v>41863</v>
      </c>
      <c r="M194" t="s">
        <v>33</v>
      </c>
      <c r="N194" t="s">
        <v>102</v>
      </c>
      <c r="O194" t="s">
        <v>98</v>
      </c>
      <c r="P194" t="s">
        <v>99</v>
      </c>
      <c r="Q194" t="s">
        <v>100</v>
      </c>
      <c r="R194">
        <v>99999</v>
      </c>
      <c r="S194" t="s">
        <v>30</v>
      </c>
      <c r="T194" t="s">
        <v>48</v>
      </c>
      <c r="U194" t="s">
        <v>103</v>
      </c>
      <c r="V194" t="s">
        <v>37</v>
      </c>
      <c r="W194">
        <v>2.99</v>
      </c>
      <c r="X194">
        <v>23</v>
      </c>
      <c r="Y194">
        <v>68.77000000000001</v>
      </c>
      <c r="Z194">
        <v>6.6706900000000013</v>
      </c>
    </row>
    <row r="195" spans="1:26" x14ac:dyDescent="0.35">
      <c r="A195">
        <v>1225</v>
      </c>
      <c r="B195">
        <v>41858</v>
      </c>
      <c r="C195">
        <v>7</v>
      </c>
      <c r="D195" t="s">
        <v>104</v>
      </c>
      <c r="E195" t="s">
        <v>105</v>
      </c>
      <c r="F195" t="s">
        <v>106</v>
      </c>
      <c r="G195" t="s">
        <v>107</v>
      </c>
      <c r="H195">
        <v>99999</v>
      </c>
      <c r="I195" t="s">
        <v>30</v>
      </c>
      <c r="J195" t="s">
        <v>60</v>
      </c>
      <c r="K195" t="s">
        <v>61</v>
      </c>
      <c r="N195" t="s">
        <v>108</v>
      </c>
      <c r="O195" t="s">
        <v>105</v>
      </c>
      <c r="P195" t="s">
        <v>106</v>
      </c>
      <c r="Q195" t="s">
        <v>107</v>
      </c>
      <c r="R195">
        <v>99999</v>
      </c>
      <c r="S195" t="s">
        <v>30</v>
      </c>
      <c r="U195" t="s">
        <v>55</v>
      </c>
      <c r="V195" t="s">
        <v>37</v>
      </c>
      <c r="W195">
        <v>46</v>
      </c>
      <c r="X195">
        <v>86</v>
      </c>
      <c r="Y195">
        <v>3956</v>
      </c>
      <c r="Z195">
        <v>399.55600000000004</v>
      </c>
    </row>
    <row r="196" spans="1:26" x14ac:dyDescent="0.35">
      <c r="A196">
        <v>1226</v>
      </c>
      <c r="B196">
        <v>41861</v>
      </c>
      <c r="C196">
        <v>10</v>
      </c>
      <c r="D196" t="s">
        <v>97</v>
      </c>
      <c r="E196" t="s">
        <v>98</v>
      </c>
      <c r="F196" t="s">
        <v>99</v>
      </c>
      <c r="G196" t="s">
        <v>100</v>
      </c>
      <c r="H196">
        <v>99999</v>
      </c>
      <c r="I196" t="s">
        <v>30</v>
      </c>
      <c r="J196" t="s">
        <v>101</v>
      </c>
      <c r="K196" t="s">
        <v>45</v>
      </c>
      <c r="L196">
        <v>41863</v>
      </c>
      <c r="M196" t="s">
        <v>46</v>
      </c>
      <c r="N196" t="s">
        <v>102</v>
      </c>
      <c r="O196" t="s">
        <v>98</v>
      </c>
      <c r="P196" t="s">
        <v>99</v>
      </c>
      <c r="Q196" t="s">
        <v>100</v>
      </c>
      <c r="R196">
        <v>99999</v>
      </c>
      <c r="S196" t="s">
        <v>30</v>
      </c>
      <c r="U196" t="s">
        <v>109</v>
      </c>
      <c r="V196" t="s">
        <v>110</v>
      </c>
      <c r="W196">
        <v>25</v>
      </c>
      <c r="X196">
        <v>47</v>
      </c>
      <c r="Y196">
        <v>1175</v>
      </c>
      <c r="Z196">
        <v>116.325</v>
      </c>
    </row>
    <row r="197" spans="1:26" x14ac:dyDescent="0.35">
      <c r="A197">
        <v>1227</v>
      </c>
      <c r="B197">
        <v>41861</v>
      </c>
      <c r="C197">
        <v>10</v>
      </c>
      <c r="D197" t="s">
        <v>97</v>
      </c>
      <c r="E197" t="s">
        <v>98</v>
      </c>
      <c r="F197" t="s">
        <v>99</v>
      </c>
      <c r="G197" t="s">
        <v>100</v>
      </c>
      <c r="H197">
        <v>99999</v>
      </c>
      <c r="I197" t="s">
        <v>30</v>
      </c>
      <c r="J197" t="s">
        <v>101</v>
      </c>
      <c r="K197" t="s">
        <v>45</v>
      </c>
      <c r="L197">
        <v>41863</v>
      </c>
      <c r="M197" t="s">
        <v>46</v>
      </c>
      <c r="N197" t="s">
        <v>102</v>
      </c>
      <c r="O197" t="s">
        <v>98</v>
      </c>
      <c r="P197" t="s">
        <v>99</v>
      </c>
      <c r="Q197" t="s">
        <v>100</v>
      </c>
      <c r="R197">
        <v>99999</v>
      </c>
      <c r="S197" t="s">
        <v>30</v>
      </c>
      <c r="U197" t="s">
        <v>111</v>
      </c>
      <c r="V197" t="s">
        <v>112</v>
      </c>
      <c r="W197">
        <v>22</v>
      </c>
      <c r="X197">
        <v>97</v>
      </c>
      <c r="Y197">
        <v>2134</v>
      </c>
      <c r="Z197">
        <v>221.93600000000001</v>
      </c>
    </row>
    <row r="198" spans="1:26" x14ac:dyDescent="0.35">
      <c r="A198">
        <v>1228</v>
      </c>
      <c r="B198">
        <v>41861</v>
      </c>
      <c r="C198">
        <v>10</v>
      </c>
      <c r="D198" t="s">
        <v>97</v>
      </c>
      <c r="E198" t="s">
        <v>98</v>
      </c>
      <c r="F198" t="s">
        <v>99</v>
      </c>
      <c r="G198" t="s">
        <v>100</v>
      </c>
      <c r="H198">
        <v>99999</v>
      </c>
      <c r="I198" t="s">
        <v>30</v>
      </c>
      <c r="J198" t="s">
        <v>101</v>
      </c>
      <c r="K198" t="s">
        <v>45</v>
      </c>
      <c r="L198">
        <v>41863</v>
      </c>
      <c r="M198" t="s">
        <v>46</v>
      </c>
      <c r="N198" t="s">
        <v>102</v>
      </c>
      <c r="O198" t="s">
        <v>98</v>
      </c>
      <c r="P198" t="s">
        <v>99</v>
      </c>
      <c r="Q198" t="s">
        <v>100</v>
      </c>
      <c r="R198">
        <v>99999</v>
      </c>
      <c r="S198" t="s">
        <v>30</v>
      </c>
      <c r="U198" t="s">
        <v>64</v>
      </c>
      <c r="V198" t="s">
        <v>65</v>
      </c>
      <c r="W198">
        <v>9.1999999999999993</v>
      </c>
      <c r="X198">
        <v>96</v>
      </c>
      <c r="Y198">
        <v>883.19999999999993</v>
      </c>
      <c r="Z198">
        <v>86.553599999999989</v>
      </c>
    </row>
    <row r="199" spans="1:26" x14ac:dyDescent="0.35">
      <c r="A199">
        <v>1229</v>
      </c>
      <c r="B199">
        <v>41862</v>
      </c>
      <c r="C199">
        <v>11</v>
      </c>
      <c r="D199" t="s">
        <v>113</v>
      </c>
      <c r="E199" t="s">
        <v>114</v>
      </c>
      <c r="F199" t="s">
        <v>115</v>
      </c>
      <c r="G199" t="s">
        <v>116</v>
      </c>
      <c r="H199">
        <v>99999</v>
      </c>
      <c r="I199" t="s">
        <v>30</v>
      </c>
      <c r="J199" t="s">
        <v>94</v>
      </c>
      <c r="K199" t="s">
        <v>95</v>
      </c>
      <c r="M199" t="s">
        <v>62</v>
      </c>
      <c r="N199" t="s">
        <v>117</v>
      </c>
      <c r="O199" t="s">
        <v>114</v>
      </c>
      <c r="P199" t="s">
        <v>115</v>
      </c>
      <c r="Q199" t="s">
        <v>116</v>
      </c>
      <c r="R199">
        <v>99999</v>
      </c>
      <c r="S199" t="s">
        <v>30</v>
      </c>
      <c r="U199" t="s">
        <v>38</v>
      </c>
      <c r="V199" t="s">
        <v>39</v>
      </c>
      <c r="W199">
        <v>3.5</v>
      </c>
      <c r="X199">
        <v>31</v>
      </c>
      <c r="Y199">
        <v>108.5</v>
      </c>
      <c r="Z199">
        <v>10.850000000000001</v>
      </c>
    </row>
    <row r="200" spans="1:26" x14ac:dyDescent="0.35">
      <c r="A200">
        <v>1230</v>
      </c>
      <c r="B200">
        <v>41862</v>
      </c>
      <c r="C200">
        <v>11</v>
      </c>
      <c r="D200" t="s">
        <v>113</v>
      </c>
      <c r="E200" t="s">
        <v>114</v>
      </c>
      <c r="F200" t="s">
        <v>115</v>
      </c>
      <c r="G200" t="s">
        <v>116</v>
      </c>
      <c r="H200">
        <v>99999</v>
      </c>
      <c r="I200" t="s">
        <v>30</v>
      </c>
      <c r="J200" t="s">
        <v>94</v>
      </c>
      <c r="K200" t="s">
        <v>95</v>
      </c>
      <c r="M200" t="s">
        <v>62</v>
      </c>
      <c r="N200" t="s">
        <v>117</v>
      </c>
      <c r="O200" t="s">
        <v>114</v>
      </c>
      <c r="P200" t="s">
        <v>115</v>
      </c>
      <c r="Q200" t="s">
        <v>116</v>
      </c>
      <c r="R200">
        <v>99999</v>
      </c>
      <c r="S200" t="s">
        <v>30</v>
      </c>
      <c r="U200" t="s">
        <v>103</v>
      </c>
      <c r="V200" t="s">
        <v>37</v>
      </c>
      <c r="W200">
        <v>2.99</v>
      </c>
      <c r="X200">
        <v>52</v>
      </c>
      <c r="Y200">
        <v>155.48000000000002</v>
      </c>
      <c r="Z200">
        <v>16.014440000000004</v>
      </c>
    </row>
    <row r="201" spans="1:26" x14ac:dyDescent="0.35">
      <c r="A201">
        <v>1231</v>
      </c>
      <c r="B201">
        <v>41852</v>
      </c>
      <c r="C201">
        <v>1</v>
      </c>
      <c r="D201" t="s">
        <v>118</v>
      </c>
      <c r="E201" t="s">
        <v>119</v>
      </c>
      <c r="F201" t="s">
        <v>120</v>
      </c>
      <c r="G201" t="s">
        <v>121</v>
      </c>
      <c r="H201">
        <v>99999</v>
      </c>
      <c r="I201" t="s">
        <v>30</v>
      </c>
      <c r="J201" t="s">
        <v>60</v>
      </c>
      <c r="K201" t="s">
        <v>61</v>
      </c>
      <c r="N201" t="s">
        <v>122</v>
      </c>
      <c r="O201" t="s">
        <v>119</v>
      </c>
      <c r="P201" t="s">
        <v>120</v>
      </c>
      <c r="Q201" t="s">
        <v>121</v>
      </c>
      <c r="R201">
        <v>99999</v>
      </c>
      <c r="S201" t="s">
        <v>30</v>
      </c>
      <c r="U201" t="s">
        <v>54</v>
      </c>
      <c r="V201" t="s">
        <v>37</v>
      </c>
      <c r="W201">
        <v>18</v>
      </c>
      <c r="X201">
        <v>91</v>
      </c>
      <c r="Y201">
        <v>1638</v>
      </c>
      <c r="Z201">
        <v>158.886</v>
      </c>
    </row>
    <row r="202" spans="1:26" x14ac:dyDescent="0.35">
      <c r="A202">
        <v>1232</v>
      </c>
      <c r="B202">
        <v>41852</v>
      </c>
      <c r="C202">
        <v>1</v>
      </c>
      <c r="D202" t="s">
        <v>118</v>
      </c>
      <c r="E202" t="s">
        <v>119</v>
      </c>
      <c r="F202" t="s">
        <v>120</v>
      </c>
      <c r="G202" t="s">
        <v>121</v>
      </c>
      <c r="H202">
        <v>99999</v>
      </c>
      <c r="I202" t="s">
        <v>30</v>
      </c>
      <c r="J202" t="s">
        <v>60</v>
      </c>
      <c r="K202" t="s">
        <v>61</v>
      </c>
      <c r="N202" t="s">
        <v>122</v>
      </c>
      <c r="O202" t="s">
        <v>119</v>
      </c>
      <c r="P202" t="s">
        <v>120</v>
      </c>
      <c r="Q202" t="s">
        <v>121</v>
      </c>
      <c r="R202">
        <v>99999</v>
      </c>
      <c r="S202" t="s">
        <v>30</v>
      </c>
      <c r="U202" t="s">
        <v>55</v>
      </c>
      <c r="V202" t="s">
        <v>37</v>
      </c>
      <c r="W202">
        <v>46</v>
      </c>
      <c r="X202">
        <v>14</v>
      </c>
      <c r="Y202">
        <v>644</v>
      </c>
      <c r="Z202">
        <v>63.756000000000007</v>
      </c>
    </row>
    <row r="203" spans="1:26" x14ac:dyDescent="0.35">
      <c r="A203">
        <v>1233</v>
      </c>
      <c r="B203">
        <v>41852</v>
      </c>
      <c r="C203">
        <v>1</v>
      </c>
      <c r="D203" t="s">
        <v>118</v>
      </c>
      <c r="E203" t="s">
        <v>119</v>
      </c>
      <c r="F203" t="s">
        <v>120</v>
      </c>
      <c r="G203" t="s">
        <v>121</v>
      </c>
      <c r="H203">
        <v>99999</v>
      </c>
      <c r="I203" t="s">
        <v>30</v>
      </c>
      <c r="J203" t="s">
        <v>60</v>
      </c>
      <c r="K203" t="s">
        <v>61</v>
      </c>
      <c r="N203" t="s">
        <v>122</v>
      </c>
      <c r="O203" t="s">
        <v>119</v>
      </c>
      <c r="P203" t="s">
        <v>120</v>
      </c>
      <c r="Q203" t="s">
        <v>121</v>
      </c>
      <c r="R203">
        <v>99999</v>
      </c>
      <c r="S203" t="s">
        <v>30</v>
      </c>
      <c r="U203" t="s">
        <v>103</v>
      </c>
      <c r="V203" t="s">
        <v>37</v>
      </c>
      <c r="W203">
        <v>2.99</v>
      </c>
      <c r="X203">
        <v>44</v>
      </c>
      <c r="Y203">
        <v>131.56</v>
      </c>
      <c r="Z203">
        <v>13.287560000000001</v>
      </c>
    </row>
    <row r="204" spans="1:26" x14ac:dyDescent="0.35">
      <c r="A204">
        <v>1234</v>
      </c>
      <c r="B204">
        <v>41879</v>
      </c>
      <c r="C204">
        <v>28</v>
      </c>
      <c r="D204" t="s">
        <v>90</v>
      </c>
      <c r="E204" t="s">
        <v>91</v>
      </c>
      <c r="F204" t="s">
        <v>92</v>
      </c>
      <c r="G204" t="s">
        <v>93</v>
      </c>
      <c r="H204">
        <v>99999</v>
      </c>
      <c r="I204" t="s">
        <v>30</v>
      </c>
      <c r="J204" t="s">
        <v>94</v>
      </c>
      <c r="K204" t="s">
        <v>95</v>
      </c>
      <c r="L204">
        <v>41881</v>
      </c>
      <c r="M204" t="s">
        <v>62</v>
      </c>
      <c r="N204" t="s">
        <v>96</v>
      </c>
      <c r="O204" t="s">
        <v>91</v>
      </c>
      <c r="P204" t="s">
        <v>92</v>
      </c>
      <c r="Q204" t="s">
        <v>93</v>
      </c>
      <c r="R204">
        <v>99999</v>
      </c>
      <c r="S204" t="s">
        <v>30</v>
      </c>
      <c r="T204" t="s">
        <v>48</v>
      </c>
      <c r="U204" t="s">
        <v>80</v>
      </c>
      <c r="V204" t="s">
        <v>81</v>
      </c>
      <c r="W204">
        <v>9.65</v>
      </c>
      <c r="X204">
        <v>97</v>
      </c>
      <c r="Y204">
        <v>936.05000000000007</v>
      </c>
      <c r="Z204">
        <v>95.477100000000021</v>
      </c>
    </row>
    <row r="205" spans="1:26" x14ac:dyDescent="0.35">
      <c r="A205">
        <v>1235</v>
      </c>
      <c r="B205">
        <v>41879</v>
      </c>
      <c r="C205">
        <v>28</v>
      </c>
      <c r="D205" t="s">
        <v>90</v>
      </c>
      <c r="E205" t="s">
        <v>91</v>
      </c>
      <c r="F205" t="s">
        <v>92</v>
      </c>
      <c r="G205" t="s">
        <v>93</v>
      </c>
      <c r="H205">
        <v>99999</v>
      </c>
      <c r="I205" t="s">
        <v>30</v>
      </c>
      <c r="J205" t="s">
        <v>94</v>
      </c>
      <c r="K205" t="s">
        <v>95</v>
      </c>
      <c r="L205">
        <v>41881</v>
      </c>
      <c r="M205" t="s">
        <v>62</v>
      </c>
      <c r="N205" t="s">
        <v>96</v>
      </c>
      <c r="O205" t="s">
        <v>91</v>
      </c>
      <c r="P205" t="s">
        <v>92</v>
      </c>
      <c r="Q205" t="s">
        <v>93</v>
      </c>
      <c r="R205">
        <v>99999</v>
      </c>
      <c r="S205" t="s">
        <v>30</v>
      </c>
      <c r="T205" t="s">
        <v>48</v>
      </c>
      <c r="U205" t="s">
        <v>123</v>
      </c>
      <c r="V205" t="s">
        <v>124</v>
      </c>
      <c r="W205">
        <v>18.399999999999999</v>
      </c>
      <c r="X205">
        <v>80</v>
      </c>
      <c r="Y205">
        <v>1472</v>
      </c>
      <c r="Z205">
        <v>150.14400000000003</v>
      </c>
    </row>
    <row r="206" spans="1:26" x14ac:dyDescent="0.35">
      <c r="A206">
        <v>1236</v>
      </c>
      <c r="B206">
        <v>41860</v>
      </c>
      <c r="C206">
        <v>9</v>
      </c>
      <c r="D206" t="s">
        <v>125</v>
      </c>
      <c r="E206" t="s">
        <v>126</v>
      </c>
      <c r="F206" t="s">
        <v>127</v>
      </c>
      <c r="G206" t="s">
        <v>128</v>
      </c>
      <c r="H206">
        <v>99999</v>
      </c>
      <c r="I206" t="s">
        <v>30</v>
      </c>
      <c r="J206" t="s">
        <v>129</v>
      </c>
      <c r="K206" t="s">
        <v>32</v>
      </c>
      <c r="L206">
        <v>41862</v>
      </c>
      <c r="M206" t="s">
        <v>46</v>
      </c>
      <c r="N206" t="s">
        <v>130</v>
      </c>
      <c r="O206" t="s">
        <v>126</v>
      </c>
      <c r="P206" t="s">
        <v>127</v>
      </c>
      <c r="Q206" t="s">
        <v>128</v>
      </c>
      <c r="R206">
        <v>99999</v>
      </c>
      <c r="S206" t="s">
        <v>30</v>
      </c>
      <c r="T206" t="s">
        <v>35</v>
      </c>
      <c r="U206" t="s">
        <v>131</v>
      </c>
      <c r="V206" t="s">
        <v>132</v>
      </c>
      <c r="W206">
        <v>19.5</v>
      </c>
      <c r="X206">
        <v>66</v>
      </c>
      <c r="Y206">
        <v>1287</v>
      </c>
      <c r="Z206">
        <v>132.56100000000001</v>
      </c>
    </row>
    <row r="207" spans="1:26" x14ac:dyDescent="0.35">
      <c r="A207">
        <v>1237</v>
      </c>
      <c r="B207">
        <v>41860</v>
      </c>
      <c r="C207">
        <v>9</v>
      </c>
      <c r="D207" t="s">
        <v>125</v>
      </c>
      <c r="E207" t="s">
        <v>126</v>
      </c>
      <c r="F207" t="s">
        <v>127</v>
      </c>
      <c r="G207" t="s">
        <v>128</v>
      </c>
      <c r="H207">
        <v>99999</v>
      </c>
      <c r="I207" t="s">
        <v>30</v>
      </c>
      <c r="J207" t="s">
        <v>129</v>
      </c>
      <c r="K207" t="s">
        <v>32</v>
      </c>
      <c r="L207">
        <v>41862</v>
      </c>
      <c r="M207" t="s">
        <v>46</v>
      </c>
      <c r="N207" t="s">
        <v>130</v>
      </c>
      <c r="O207" t="s">
        <v>126</v>
      </c>
      <c r="P207" t="s">
        <v>127</v>
      </c>
      <c r="Q207" t="s">
        <v>128</v>
      </c>
      <c r="R207">
        <v>99999</v>
      </c>
      <c r="S207" t="s">
        <v>30</v>
      </c>
      <c r="T207" t="s">
        <v>35</v>
      </c>
      <c r="U207" t="s">
        <v>133</v>
      </c>
      <c r="V207" t="s">
        <v>134</v>
      </c>
      <c r="W207">
        <v>34.799999999999997</v>
      </c>
      <c r="X207">
        <v>32</v>
      </c>
      <c r="Y207">
        <v>1113.5999999999999</v>
      </c>
      <c r="Z207">
        <v>111.36</v>
      </c>
    </row>
    <row r="208" spans="1:26" x14ac:dyDescent="0.35">
      <c r="A208">
        <v>1238</v>
      </c>
      <c r="B208">
        <v>41857</v>
      </c>
      <c r="C208">
        <v>6</v>
      </c>
      <c r="D208" t="s">
        <v>82</v>
      </c>
      <c r="E208" t="s">
        <v>83</v>
      </c>
      <c r="F208" t="s">
        <v>84</v>
      </c>
      <c r="G208" t="s">
        <v>85</v>
      </c>
      <c r="H208">
        <v>99999</v>
      </c>
      <c r="I208" t="s">
        <v>30</v>
      </c>
      <c r="J208" t="s">
        <v>86</v>
      </c>
      <c r="K208" t="s">
        <v>61</v>
      </c>
      <c r="L208">
        <v>41859</v>
      </c>
      <c r="M208" t="s">
        <v>33</v>
      </c>
      <c r="N208" t="s">
        <v>87</v>
      </c>
      <c r="O208" t="s">
        <v>83</v>
      </c>
      <c r="P208" t="s">
        <v>84</v>
      </c>
      <c r="Q208" t="s">
        <v>85</v>
      </c>
      <c r="R208">
        <v>99999</v>
      </c>
      <c r="S208" t="s">
        <v>30</v>
      </c>
      <c r="T208" t="s">
        <v>48</v>
      </c>
      <c r="U208" t="s">
        <v>36</v>
      </c>
      <c r="V208" t="s">
        <v>37</v>
      </c>
      <c r="W208">
        <v>14</v>
      </c>
      <c r="X208">
        <v>52</v>
      </c>
      <c r="Y208">
        <v>728</v>
      </c>
      <c r="Z208">
        <v>72.8</v>
      </c>
    </row>
    <row r="209" spans="1:26" x14ac:dyDescent="0.35">
      <c r="A209">
        <v>1239</v>
      </c>
      <c r="B209">
        <v>41859</v>
      </c>
      <c r="C209">
        <v>8</v>
      </c>
      <c r="D209" t="s">
        <v>56</v>
      </c>
      <c r="E209" t="s">
        <v>57</v>
      </c>
      <c r="F209" t="s">
        <v>58</v>
      </c>
      <c r="G209" t="s">
        <v>59</v>
      </c>
      <c r="H209">
        <v>99999</v>
      </c>
      <c r="I209" t="s">
        <v>30</v>
      </c>
      <c r="J209" t="s">
        <v>60</v>
      </c>
      <c r="K209" t="s">
        <v>61</v>
      </c>
      <c r="L209">
        <v>41861</v>
      </c>
      <c r="M209" t="s">
        <v>33</v>
      </c>
      <c r="N209" t="s">
        <v>63</v>
      </c>
      <c r="O209" t="s">
        <v>57</v>
      </c>
      <c r="P209" t="s">
        <v>58</v>
      </c>
      <c r="Q209" t="s">
        <v>59</v>
      </c>
      <c r="R209">
        <v>99999</v>
      </c>
      <c r="S209" t="s">
        <v>30</v>
      </c>
      <c r="T209" t="s">
        <v>35</v>
      </c>
      <c r="U209" t="s">
        <v>88</v>
      </c>
      <c r="V209" t="s">
        <v>89</v>
      </c>
      <c r="W209">
        <v>40</v>
      </c>
      <c r="X209">
        <v>78</v>
      </c>
      <c r="Y209">
        <v>3120</v>
      </c>
      <c r="Z209">
        <v>318.24</v>
      </c>
    </row>
    <row r="210" spans="1:26" x14ac:dyDescent="0.35">
      <c r="A210">
        <v>1240</v>
      </c>
      <c r="B210">
        <v>41859</v>
      </c>
      <c r="C210">
        <v>8</v>
      </c>
      <c r="D210" t="s">
        <v>56</v>
      </c>
      <c r="E210" t="s">
        <v>57</v>
      </c>
      <c r="F210" t="s">
        <v>58</v>
      </c>
      <c r="G210" t="s">
        <v>59</v>
      </c>
      <c r="H210">
        <v>99999</v>
      </c>
      <c r="I210" t="s">
        <v>30</v>
      </c>
      <c r="J210" t="s">
        <v>60</v>
      </c>
      <c r="K210" t="s">
        <v>61</v>
      </c>
      <c r="L210">
        <v>41861</v>
      </c>
      <c r="M210" t="s">
        <v>33</v>
      </c>
      <c r="N210" t="s">
        <v>63</v>
      </c>
      <c r="O210" t="s">
        <v>57</v>
      </c>
      <c r="P210" t="s">
        <v>58</v>
      </c>
      <c r="Q210" t="s">
        <v>59</v>
      </c>
      <c r="R210">
        <v>99999</v>
      </c>
      <c r="S210" t="s">
        <v>30</v>
      </c>
      <c r="T210" t="s">
        <v>35</v>
      </c>
      <c r="U210" t="s">
        <v>64</v>
      </c>
      <c r="V210" t="s">
        <v>65</v>
      </c>
      <c r="W210">
        <v>9.1999999999999993</v>
      </c>
      <c r="X210">
        <v>54</v>
      </c>
      <c r="Y210">
        <v>496.79999999999995</v>
      </c>
      <c r="Z210">
        <v>49.183199999999999</v>
      </c>
    </row>
    <row r="211" spans="1:26" x14ac:dyDescent="0.35">
      <c r="A211">
        <v>1241</v>
      </c>
      <c r="B211">
        <v>41876</v>
      </c>
      <c r="C211">
        <v>25</v>
      </c>
      <c r="D211" t="s">
        <v>137</v>
      </c>
      <c r="E211" t="s">
        <v>138</v>
      </c>
      <c r="F211" t="s">
        <v>99</v>
      </c>
      <c r="G211" t="s">
        <v>100</v>
      </c>
      <c r="H211">
        <v>99999</v>
      </c>
      <c r="I211" t="s">
        <v>30</v>
      </c>
      <c r="J211" t="s">
        <v>101</v>
      </c>
      <c r="K211" t="s">
        <v>45</v>
      </c>
      <c r="L211">
        <v>41878</v>
      </c>
      <c r="M211" t="s">
        <v>46</v>
      </c>
      <c r="N211" t="s">
        <v>139</v>
      </c>
      <c r="O211" t="s">
        <v>138</v>
      </c>
      <c r="P211" t="s">
        <v>99</v>
      </c>
      <c r="Q211" t="s">
        <v>100</v>
      </c>
      <c r="R211">
        <v>99999</v>
      </c>
      <c r="S211" t="s">
        <v>30</v>
      </c>
      <c r="T211" t="s">
        <v>79</v>
      </c>
      <c r="U211" t="s">
        <v>146</v>
      </c>
      <c r="V211" t="s">
        <v>65</v>
      </c>
      <c r="W211">
        <v>10</v>
      </c>
      <c r="X211">
        <v>55</v>
      </c>
      <c r="Y211">
        <v>550</v>
      </c>
      <c r="Z211">
        <v>52.25</v>
      </c>
    </row>
    <row r="212" spans="1:26" x14ac:dyDescent="0.35">
      <c r="A212">
        <v>1242</v>
      </c>
      <c r="B212">
        <v>41877</v>
      </c>
      <c r="C212">
        <v>26</v>
      </c>
      <c r="D212" t="s">
        <v>140</v>
      </c>
      <c r="E212" t="s">
        <v>141</v>
      </c>
      <c r="F212" t="s">
        <v>115</v>
      </c>
      <c r="G212" t="s">
        <v>116</v>
      </c>
      <c r="H212">
        <v>99999</v>
      </c>
      <c r="I212" t="s">
        <v>30</v>
      </c>
      <c r="J212" t="s">
        <v>94</v>
      </c>
      <c r="K212" t="s">
        <v>95</v>
      </c>
      <c r="L212">
        <v>41879</v>
      </c>
      <c r="M212" t="s">
        <v>62</v>
      </c>
      <c r="N212" t="s">
        <v>142</v>
      </c>
      <c r="O212" t="s">
        <v>141</v>
      </c>
      <c r="P212" t="s">
        <v>115</v>
      </c>
      <c r="Q212" t="s">
        <v>116</v>
      </c>
      <c r="R212">
        <v>99999</v>
      </c>
      <c r="S212" t="s">
        <v>30</v>
      </c>
      <c r="T212" t="s">
        <v>48</v>
      </c>
      <c r="U212" t="s">
        <v>147</v>
      </c>
      <c r="V212" t="s">
        <v>148</v>
      </c>
      <c r="W212">
        <v>21.35</v>
      </c>
      <c r="X212">
        <v>60</v>
      </c>
      <c r="Y212">
        <v>1281</v>
      </c>
      <c r="Z212">
        <v>129.381</v>
      </c>
    </row>
    <row r="213" spans="1:26" x14ac:dyDescent="0.35">
      <c r="A213">
        <v>1243</v>
      </c>
      <c r="B213">
        <v>41877</v>
      </c>
      <c r="C213">
        <v>26</v>
      </c>
      <c r="D213" t="s">
        <v>140</v>
      </c>
      <c r="E213" t="s">
        <v>141</v>
      </c>
      <c r="F213" t="s">
        <v>115</v>
      </c>
      <c r="G213" t="s">
        <v>116</v>
      </c>
      <c r="H213">
        <v>99999</v>
      </c>
      <c r="I213" t="s">
        <v>30</v>
      </c>
      <c r="J213" t="s">
        <v>94</v>
      </c>
      <c r="K213" t="s">
        <v>95</v>
      </c>
      <c r="L213">
        <v>41879</v>
      </c>
      <c r="M213" t="s">
        <v>62</v>
      </c>
      <c r="N213" t="s">
        <v>142</v>
      </c>
      <c r="O213" t="s">
        <v>141</v>
      </c>
      <c r="P213" t="s">
        <v>115</v>
      </c>
      <c r="Q213" t="s">
        <v>116</v>
      </c>
      <c r="R213">
        <v>99999</v>
      </c>
      <c r="S213" t="s">
        <v>30</v>
      </c>
      <c r="T213" t="s">
        <v>48</v>
      </c>
      <c r="U213" t="s">
        <v>80</v>
      </c>
      <c r="V213" t="s">
        <v>81</v>
      </c>
      <c r="W213">
        <v>9.65</v>
      </c>
      <c r="X213">
        <v>19</v>
      </c>
      <c r="Y213">
        <v>183.35</v>
      </c>
      <c r="Z213">
        <v>17.41825</v>
      </c>
    </row>
    <row r="214" spans="1:26" x14ac:dyDescent="0.35">
      <c r="A214">
        <v>1244</v>
      </c>
      <c r="B214">
        <v>41877</v>
      </c>
      <c r="C214">
        <v>26</v>
      </c>
      <c r="D214" t="s">
        <v>140</v>
      </c>
      <c r="E214" t="s">
        <v>141</v>
      </c>
      <c r="F214" t="s">
        <v>115</v>
      </c>
      <c r="G214" t="s">
        <v>116</v>
      </c>
      <c r="H214">
        <v>99999</v>
      </c>
      <c r="I214" t="s">
        <v>30</v>
      </c>
      <c r="J214" t="s">
        <v>94</v>
      </c>
      <c r="K214" t="s">
        <v>95</v>
      </c>
      <c r="L214">
        <v>41879</v>
      </c>
      <c r="M214" t="s">
        <v>62</v>
      </c>
      <c r="N214" t="s">
        <v>142</v>
      </c>
      <c r="O214" t="s">
        <v>141</v>
      </c>
      <c r="P214" t="s">
        <v>115</v>
      </c>
      <c r="Q214" t="s">
        <v>116</v>
      </c>
      <c r="R214">
        <v>99999</v>
      </c>
      <c r="S214" t="s">
        <v>30</v>
      </c>
      <c r="T214" t="s">
        <v>48</v>
      </c>
      <c r="U214" t="s">
        <v>123</v>
      </c>
      <c r="V214" t="s">
        <v>124</v>
      </c>
      <c r="W214">
        <v>18.399999999999999</v>
      </c>
      <c r="X214">
        <v>66</v>
      </c>
      <c r="Y214">
        <v>1214.3999999999999</v>
      </c>
      <c r="Z214">
        <v>125.08320000000001</v>
      </c>
    </row>
    <row r="215" spans="1:26" x14ac:dyDescent="0.35">
      <c r="A215">
        <v>1245</v>
      </c>
      <c r="B215">
        <v>41880</v>
      </c>
      <c r="C215">
        <v>29</v>
      </c>
      <c r="D215" t="s">
        <v>66</v>
      </c>
      <c r="E215" t="s">
        <v>67</v>
      </c>
      <c r="F215" t="s">
        <v>68</v>
      </c>
      <c r="G215" t="s">
        <v>69</v>
      </c>
      <c r="H215">
        <v>99999</v>
      </c>
      <c r="I215" t="s">
        <v>30</v>
      </c>
      <c r="J215" t="s">
        <v>70</v>
      </c>
      <c r="K215" t="s">
        <v>32</v>
      </c>
      <c r="L215">
        <v>41882</v>
      </c>
      <c r="M215" t="s">
        <v>33</v>
      </c>
      <c r="N215" t="s">
        <v>71</v>
      </c>
      <c r="O215" t="s">
        <v>67</v>
      </c>
      <c r="P215" t="s">
        <v>68</v>
      </c>
      <c r="Q215" t="s">
        <v>69</v>
      </c>
      <c r="R215">
        <v>99999</v>
      </c>
      <c r="S215" t="s">
        <v>30</v>
      </c>
      <c r="T215" t="s">
        <v>35</v>
      </c>
      <c r="U215" t="s">
        <v>36</v>
      </c>
      <c r="V215" t="s">
        <v>37</v>
      </c>
      <c r="W215">
        <v>14</v>
      </c>
      <c r="X215">
        <v>42</v>
      </c>
      <c r="Y215">
        <v>588</v>
      </c>
      <c r="Z215">
        <v>59.388000000000005</v>
      </c>
    </row>
    <row r="216" spans="1:26" x14ac:dyDescent="0.35">
      <c r="A216">
        <v>1246</v>
      </c>
      <c r="B216">
        <v>41857</v>
      </c>
      <c r="C216">
        <v>6</v>
      </c>
      <c r="D216" t="s">
        <v>82</v>
      </c>
      <c r="E216" t="s">
        <v>83</v>
      </c>
      <c r="F216" t="s">
        <v>84</v>
      </c>
      <c r="G216" t="s">
        <v>85</v>
      </c>
      <c r="H216">
        <v>99999</v>
      </c>
      <c r="I216" t="s">
        <v>30</v>
      </c>
      <c r="J216" t="s">
        <v>86</v>
      </c>
      <c r="K216" t="s">
        <v>61</v>
      </c>
      <c r="L216">
        <v>41859</v>
      </c>
      <c r="M216" t="s">
        <v>62</v>
      </c>
      <c r="N216" t="s">
        <v>87</v>
      </c>
      <c r="O216" t="s">
        <v>83</v>
      </c>
      <c r="P216" t="s">
        <v>84</v>
      </c>
      <c r="Q216" t="s">
        <v>85</v>
      </c>
      <c r="R216">
        <v>99999</v>
      </c>
      <c r="S216" t="s">
        <v>30</v>
      </c>
      <c r="T216" t="s">
        <v>35</v>
      </c>
      <c r="U216" t="s">
        <v>72</v>
      </c>
      <c r="V216" t="s">
        <v>73</v>
      </c>
      <c r="W216">
        <v>12.75</v>
      </c>
      <c r="X216">
        <v>72</v>
      </c>
      <c r="Y216">
        <v>918</v>
      </c>
      <c r="Z216">
        <v>89.046000000000006</v>
      </c>
    </row>
    <row r="217" spans="1:26" x14ac:dyDescent="0.35">
      <c r="A217">
        <v>1248</v>
      </c>
      <c r="B217">
        <v>41855</v>
      </c>
      <c r="C217">
        <v>4</v>
      </c>
      <c r="D217" t="s">
        <v>40</v>
      </c>
      <c r="E217" t="s">
        <v>41</v>
      </c>
      <c r="F217" t="s">
        <v>42</v>
      </c>
      <c r="G217" t="s">
        <v>43</v>
      </c>
      <c r="H217">
        <v>99999</v>
      </c>
      <c r="I217" t="s">
        <v>30</v>
      </c>
      <c r="J217" t="s">
        <v>44</v>
      </c>
      <c r="K217" t="s">
        <v>45</v>
      </c>
      <c r="L217">
        <v>41857</v>
      </c>
      <c r="M217" t="s">
        <v>46</v>
      </c>
      <c r="N217" t="s">
        <v>47</v>
      </c>
      <c r="O217" t="s">
        <v>41</v>
      </c>
      <c r="P217" t="s">
        <v>42</v>
      </c>
      <c r="Q217" t="s">
        <v>43</v>
      </c>
      <c r="R217">
        <v>99999</v>
      </c>
      <c r="S217" t="s">
        <v>30</v>
      </c>
      <c r="T217" t="s">
        <v>48</v>
      </c>
      <c r="U217" t="s">
        <v>149</v>
      </c>
      <c r="V217" t="s">
        <v>110</v>
      </c>
      <c r="W217">
        <v>81</v>
      </c>
      <c r="X217">
        <v>32</v>
      </c>
      <c r="Y217">
        <v>2592</v>
      </c>
      <c r="Z217">
        <v>251.42399999999998</v>
      </c>
    </row>
    <row r="218" spans="1:26" x14ac:dyDescent="0.35">
      <c r="A218">
        <v>1249</v>
      </c>
      <c r="B218">
        <v>41855</v>
      </c>
      <c r="C218">
        <v>4</v>
      </c>
      <c r="D218" t="s">
        <v>40</v>
      </c>
      <c r="E218" t="s">
        <v>41</v>
      </c>
      <c r="F218" t="s">
        <v>42</v>
      </c>
      <c r="G218" t="s">
        <v>43</v>
      </c>
      <c r="H218">
        <v>99999</v>
      </c>
      <c r="I218" t="s">
        <v>30</v>
      </c>
      <c r="J218" t="s">
        <v>44</v>
      </c>
      <c r="K218" t="s">
        <v>45</v>
      </c>
      <c r="L218">
        <v>41857</v>
      </c>
      <c r="M218" t="s">
        <v>46</v>
      </c>
      <c r="N218" t="s">
        <v>47</v>
      </c>
      <c r="O218" t="s">
        <v>41</v>
      </c>
      <c r="P218" t="s">
        <v>42</v>
      </c>
      <c r="Q218" t="s">
        <v>43</v>
      </c>
      <c r="R218">
        <v>99999</v>
      </c>
      <c r="S218" t="s">
        <v>30</v>
      </c>
      <c r="T218" t="s">
        <v>48</v>
      </c>
      <c r="U218" t="s">
        <v>150</v>
      </c>
      <c r="V218" t="s">
        <v>151</v>
      </c>
      <c r="W218">
        <v>7</v>
      </c>
      <c r="X218">
        <v>76</v>
      </c>
      <c r="Y218">
        <v>532</v>
      </c>
      <c r="Z218">
        <v>53.732000000000006</v>
      </c>
    </row>
    <row r="219" spans="1:26" x14ac:dyDescent="0.35">
      <c r="A219">
        <v>1250</v>
      </c>
      <c r="B219">
        <v>41892</v>
      </c>
      <c r="C219">
        <v>10</v>
      </c>
      <c r="D219" t="s">
        <v>97</v>
      </c>
      <c r="E219" t="s">
        <v>98</v>
      </c>
      <c r="F219" t="s">
        <v>99</v>
      </c>
      <c r="G219" t="s">
        <v>100</v>
      </c>
      <c r="H219">
        <v>99999</v>
      </c>
      <c r="I219" t="s">
        <v>30</v>
      </c>
      <c r="J219" t="s">
        <v>101</v>
      </c>
      <c r="K219" t="s">
        <v>45</v>
      </c>
      <c r="L219">
        <v>41894</v>
      </c>
      <c r="M219" t="s">
        <v>46</v>
      </c>
      <c r="N219" t="s">
        <v>102</v>
      </c>
      <c r="O219" t="s">
        <v>98</v>
      </c>
      <c r="P219" t="s">
        <v>99</v>
      </c>
      <c r="Q219" t="s">
        <v>100</v>
      </c>
      <c r="R219">
        <v>99999</v>
      </c>
      <c r="S219" t="s">
        <v>30</v>
      </c>
      <c r="U219" t="s">
        <v>64</v>
      </c>
      <c r="V219" t="s">
        <v>65</v>
      </c>
      <c r="W219">
        <v>9.1999999999999993</v>
      </c>
      <c r="X219">
        <v>83</v>
      </c>
      <c r="Y219">
        <v>763.59999999999991</v>
      </c>
      <c r="Z219">
        <v>74.832799999999992</v>
      </c>
    </row>
    <row r="220" spans="1:26" x14ac:dyDescent="0.35">
      <c r="A220">
        <v>1251</v>
      </c>
      <c r="B220">
        <v>41893</v>
      </c>
      <c r="C220">
        <v>11</v>
      </c>
      <c r="D220" t="s">
        <v>113</v>
      </c>
      <c r="E220" t="s">
        <v>114</v>
      </c>
      <c r="F220" t="s">
        <v>115</v>
      </c>
      <c r="G220" t="s">
        <v>116</v>
      </c>
      <c r="H220">
        <v>99999</v>
      </c>
      <c r="I220" t="s">
        <v>30</v>
      </c>
      <c r="J220" t="s">
        <v>94</v>
      </c>
      <c r="K220" t="s">
        <v>95</v>
      </c>
      <c r="M220" t="s">
        <v>62</v>
      </c>
      <c r="N220" t="s">
        <v>117</v>
      </c>
      <c r="O220" t="s">
        <v>114</v>
      </c>
      <c r="P220" t="s">
        <v>115</v>
      </c>
      <c r="Q220" t="s">
        <v>116</v>
      </c>
      <c r="R220">
        <v>99999</v>
      </c>
      <c r="S220" t="s">
        <v>30</v>
      </c>
      <c r="U220" t="s">
        <v>38</v>
      </c>
      <c r="V220" t="s">
        <v>39</v>
      </c>
      <c r="W220">
        <v>3.5</v>
      </c>
      <c r="X220">
        <v>91</v>
      </c>
      <c r="Y220">
        <v>318.5</v>
      </c>
      <c r="Z220">
        <v>31.213000000000001</v>
      </c>
    </row>
    <row r="221" spans="1:26" x14ac:dyDescent="0.35">
      <c r="A221">
        <v>1252</v>
      </c>
      <c r="B221">
        <v>41893</v>
      </c>
      <c r="C221">
        <v>11</v>
      </c>
      <c r="D221" t="s">
        <v>113</v>
      </c>
      <c r="E221" t="s">
        <v>114</v>
      </c>
      <c r="F221" t="s">
        <v>115</v>
      </c>
      <c r="G221" t="s">
        <v>116</v>
      </c>
      <c r="H221">
        <v>99999</v>
      </c>
      <c r="I221" t="s">
        <v>30</v>
      </c>
      <c r="J221" t="s">
        <v>94</v>
      </c>
      <c r="K221" t="s">
        <v>95</v>
      </c>
      <c r="M221" t="s">
        <v>62</v>
      </c>
      <c r="N221" t="s">
        <v>117</v>
      </c>
      <c r="O221" t="s">
        <v>114</v>
      </c>
      <c r="P221" t="s">
        <v>115</v>
      </c>
      <c r="Q221" t="s">
        <v>116</v>
      </c>
      <c r="R221">
        <v>99999</v>
      </c>
      <c r="S221" t="s">
        <v>30</v>
      </c>
      <c r="U221" t="s">
        <v>103</v>
      </c>
      <c r="V221" t="s">
        <v>37</v>
      </c>
      <c r="W221">
        <v>2.99</v>
      </c>
      <c r="X221">
        <v>64</v>
      </c>
      <c r="Y221">
        <v>191.36</v>
      </c>
      <c r="Z221">
        <v>19.518720000000002</v>
      </c>
    </row>
    <row r="222" spans="1:26" x14ac:dyDescent="0.35">
      <c r="A222">
        <v>1253</v>
      </c>
      <c r="B222">
        <v>41883</v>
      </c>
      <c r="C222">
        <v>1</v>
      </c>
      <c r="D222" t="s">
        <v>118</v>
      </c>
      <c r="E222" t="s">
        <v>119</v>
      </c>
      <c r="F222" t="s">
        <v>120</v>
      </c>
      <c r="G222" t="s">
        <v>121</v>
      </c>
      <c r="H222">
        <v>99999</v>
      </c>
      <c r="I222" t="s">
        <v>30</v>
      </c>
      <c r="J222" t="s">
        <v>60</v>
      </c>
      <c r="K222" t="s">
        <v>61</v>
      </c>
      <c r="N222" t="s">
        <v>122</v>
      </c>
      <c r="O222" t="s">
        <v>119</v>
      </c>
      <c r="P222" t="s">
        <v>120</v>
      </c>
      <c r="Q222" t="s">
        <v>121</v>
      </c>
      <c r="R222">
        <v>99999</v>
      </c>
      <c r="S222" t="s">
        <v>30</v>
      </c>
      <c r="U222" t="s">
        <v>54</v>
      </c>
      <c r="V222" t="s">
        <v>37</v>
      </c>
      <c r="W222">
        <v>18</v>
      </c>
      <c r="X222">
        <v>58</v>
      </c>
      <c r="Y222">
        <v>1044</v>
      </c>
      <c r="Z222">
        <v>103.35600000000001</v>
      </c>
    </row>
    <row r="223" spans="1:26" x14ac:dyDescent="0.35">
      <c r="A223">
        <v>1254</v>
      </c>
      <c r="B223">
        <v>41883</v>
      </c>
      <c r="C223">
        <v>1</v>
      </c>
      <c r="D223" t="s">
        <v>118</v>
      </c>
      <c r="E223" t="s">
        <v>119</v>
      </c>
      <c r="F223" t="s">
        <v>120</v>
      </c>
      <c r="G223" t="s">
        <v>121</v>
      </c>
      <c r="H223">
        <v>99999</v>
      </c>
      <c r="I223" t="s">
        <v>30</v>
      </c>
      <c r="J223" t="s">
        <v>60</v>
      </c>
      <c r="K223" t="s">
        <v>61</v>
      </c>
      <c r="N223" t="s">
        <v>122</v>
      </c>
      <c r="O223" t="s">
        <v>119</v>
      </c>
      <c r="P223" t="s">
        <v>120</v>
      </c>
      <c r="Q223" t="s">
        <v>121</v>
      </c>
      <c r="R223">
        <v>99999</v>
      </c>
      <c r="S223" t="s">
        <v>30</v>
      </c>
      <c r="U223" t="s">
        <v>55</v>
      </c>
      <c r="V223" t="s">
        <v>37</v>
      </c>
      <c r="W223">
        <v>46</v>
      </c>
      <c r="X223">
        <v>97</v>
      </c>
      <c r="Y223">
        <v>4462</v>
      </c>
      <c r="Z223">
        <v>464.04800000000006</v>
      </c>
    </row>
    <row r="224" spans="1:26" x14ac:dyDescent="0.35">
      <c r="A224">
        <v>1255</v>
      </c>
      <c r="B224">
        <v>41883</v>
      </c>
      <c r="C224">
        <v>1</v>
      </c>
      <c r="D224" t="s">
        <v>118</v>
      </c>
      <c r="E224" t="s">
        <v>119</v>
      </c>
      <c r="F224" t="s">
        <v>120</v>
      </c>
      <c r="G224" t="s">
        <v>121</v>
      </c>
      <c r="H224">
        <v>99999</v>
      </c>
      <c r="I224" t="s">
        <v>30</v>
      </c>
      <c r="J224" t="s">
        <v>60</v>
      </c>
      <c r="K224" t="s">
        <v>61</v>
      </c>
      <c r="N224" t="s">
        <v>122</v>
      </c>
      <c r="O224" t="s">
        <v>119</v>
      </c>
      <c r="P224" t="s">
        <v>120</v>
      </c>
      <c r="Q224" t="s">
        <v>121</v>
      </c>
      <c r="R224">
        <v>99999</v>
      </c>
      <c r="S224" t="s">
        <v>30</v>
      </c>
      <c r="U224" t="s">
        <v>103</v>
      </c>
      <c r="V224" t="s">
        <v>37</v>
      </c>
      <c r="W224">
        <v>2.99</v>
      </c>
      <c r="X224">
        <v>14</v>
      </c>
      <c r="Y224">
        <v>41.86</v>
      </c>
      <c r="Z224">
        <v>4.35344</v>
      </c>
    </row>
    <row r="225" spans="1:26" x14ac:dyDescent="0.35">
      <c r="A225">
        <v>1256</v>
      </c>
      <c r="B225">
        <v>41910</v>
      </c>
      <c r="C225">
        <v>28</v>
      </c>
      <c r="D225" t="s">
        <v>90</v>
      </c>
      <c r="E225" t="s">
        <v>91</v>
      </c>
      <c r="F225" t="s">
        <v>92</v>
      </c>
      <c r="G225" t="s">
        <v>93</v>
      </c>
      <c r="H225">
        <v>99999</v>
      </c>
      <c r="I225" t="s">
        <v>30</v>
      </c>
      <c r="J225" t="s">
        <v>94</v>
      </c>
      <c r="K225" t="s">
        <v>95</v>
      </c>
      <c r="L225">
        <v>41912</v>
      </c>
      <c r="M225" t="s">
        <v>62</v>
      </c>
      <c r="N225" t="s">
        <v>96</v>
      </c>
      <c r="O225" t="s">
        <v>91</v>
      </c>
      <c r="P225" t="s">
        <v>92</v>
      </c>
      <c r="Q225" t="s">
        <v>93</v>
      </c>
      <c r="R225">
        <v>99999</v>
      </c>
      <c r="S225" t="s">
        <v>30</v>
      </c>
      <c r="T225" t="s">
        <v>48</v>
      </c>
      <c r="U225" t="s">
        <v>80</v>
      </c>
      <c r="V225" t="s">
        <v>81</v>
      </c>
      <c r="W225">
        <v>9.65</v>
      </c>
      <c r="X225">
        <v>68</v>
      </c>
      <c r="Y225">
        <v>656.2</v>
      </c>
      <c r="Z225">
        <v>64.307600000000008</v>
      </c>
    </row>
    <row r="226" spans="1:26" x14ac:dyDescent="0.35">
      <c r="A226">
        <v>1257</v>
      </c>
      <c r="B226">
        <v>41910</v>
      </c>
      <c r="C226">
        <v>28</v>
      </c>
      <c r="D226" t="s">
        <v>90</v>
      </c>
      <c r="E226" t="s">
        <v>91</v>
      </c>
      <c r="F226" t="s">
        <v>92</v>
      </c>
      <c r="G226" t="s">
        <v>93</v>
      </c>
      <c r="H226">
        <v>99999</v>
      </c>
      <c r="I226" t="s">
        <v>30</v>
      </c>
      <c r="J226" t="s">
        <v>94</v>
      </c>
      <c r="K226" t="s">
        <v>95</v>
      </c>
      <c r="L226">
        <v>41912</v>
      </c>
      <c r="M226" t="s">
        <v>62</v>
      </c>
      <c r="N226" t="s">
        <v>96</v>
      </c>
      <c r="O226" t="s">
        <v>91</v>
      </c>
      <c r="P226" t="s">
        <v>92</v>
      </c>
      <c r="Q226" t="s">
        <v>93</v>
      </c>
      <c r="R226">
        <v>99999</v>
      </c>
      <c r="S226" t="s">
        <v>30</v>
      </c>
      <c r="T226" t="s">
        <v>48</v>
      </c>
      <c r="U226" t="s">
        <v>123</v>
      </c>
      <c r="V226" t="s">
        <v>124</v>
      </c>
      <c r="W226">
        <v>18.399999999999999</v>
      </c>
      <c r="X226">
        <v>32</v>
      </c>
      <c r="Y226">
        <v>588.79999999999995</v>
      </c>
      <c r="Z226">
        <v>58.879999999999995</v>
      </c>
    </row>
    <row r="227" spans="1:26" x14ac:dyDescent="0.35">
      <c r="A227">
        <v>1258</v>
      </c>
      <c r="B227">
        <v>41891</v>
      </c>
      <c r="C227">
        <v>9</v>
      </c>
      <c r="D227" t="s">
        <v>125</v>
      </c>
      <c r="E227" t="s">
        <v>126</v>
      </c>
      <c r="F227" t="s">
        <v>127</v>
      </c>
      <c r="G227" t="s">
        <v>128</v>
      </c>
      <c r="H227">
        <v>99999</v>
      </c>
      <c r="I227" t="s">
        <v>30</v>
      </c>
      <c r="J227" t="s">
        <v>129</v>
      </c>
      <c r="K227" t="s">
        <v>32</v>
      </c>
      <c r="L227">
        <v>41893</v>
      </c>
      <c r="M227" t="s">
        <v>46</v>
      </c>
      <c r="N227" t="s">
        <v>130</v>
      </c>
      <c r="O227" t="s">
        <v>126</v>
      </c>
      <c r="P227" t="s">
        <v>127</v>
      </c>
      <c r="Q227" t="s">
        <v>128</v>
      </c>
      <c r="R227">
        <v>99999</v>
      </c>
      <c r="S227" t="s">
        <v>30</v>
      </c>
      <c r="T227" t="s">
        <v>35</v>
      </c>
      <c r="U227" t="s">
        <v>131</v>
      </c>
      <c r="V227" t="s">
        <v>132</v>
      </c>
      <c r="W227">
        <v>19.5</v>
      </c>
      <c r="X227">
        <v>48</v>
      </c>
      <c r="Y227">
        <v>936</v>
      </c>
      <c r="Z227">
        <v>94.536000000000016</v>
      </c>
    </row>
    <row r="228" spans="1:26" x14ac:dyDescent="0.35">
      <c r="A228">
        <v>1259</v>
      </c>
      <c r="B228">
        <v>41891</v>
      </c>
      <c r="C228">
        <v>9</v>
      </c>
      <c r="D228" t="s">
        <v>125</v>
      </c>
      <c r="E228" t="s">
        <v>126</v>
      </c>
      <c r="F228" t="s">
        <v>127</v>
      </c>
      <c r="G228" t="s">
        <v>128</v>
      </c>
      <c r="H228">
        <v>99999</v>
      </c>
      <c r="I228" t="s">
        <v>30</v>
      </c>
      <c r="J228" t="s">
        <v>129</v>
      </c>
      <c r="K228" t="s">
        <v>32</v>
      </c>
      <c r="L228">
        <v>41893</v>
      </c>
      <c r="M228" t="s">
        <v>46</v>
      </c>
      <c r="N228" t="s">
        <v>130</v>
      </c>
      <c r="O228" t="s">
        <v>126</v>
      </c>
      <c r="P228" t="s">
        <v>127</v>
      </c>
      <c r="Q228" t="s">
        <v>128</v>
      </c>
      <c r="R228">
        <v>99999</v>
      </c>
      <c r="S228" t="s">
        <v>30</v>
      </c>
      <c r="T228" t="s">
        <v>35</v>
      </c>
      <c r="U228" t="s">
        <v>133</v>
      </c>
      <c r="V228" t="s">
        <v>134</v>
      </c>
      <c r="W228">
        <v>34.799999999999997</v>
      </c>
      <c r="X228">
        <v>57</v>
      </c>
      <c r="Y228">
        <v>1983.6</v>
      </c>
      <c r="Z228">
        <v>194.39280000000002</v>
      </c>
    </row>
    <row r="229" spans="1:26" x14ac:dyDescent="0.35">
      <c r="A229">
        <v>1260</v>
      </c>
      <c r="B229">
        <v>41888</v>
      </c>
      <c r="C229">
        <v>6</v>
      </c>
      <c r="D229" t="s">
        <v>82</v>
      </c>
      <c r="E229" t="s">
        <v>83</v>
      </c>
      <c r="F229" t="s">
        <v>84</v>
      </c>
      <c r="G229" t="s">
        <v>85</v>
      </c>
      <c r="H229">
        <v>99999</v>
      </c>
      <c r="I229" t="s">
        <v>30</v>
      </c>
      <c r="J229" t="s">
        <v>86</v>
      </c>
      <c r="K229" t="s">
        <v>61</v>
      </c>
      <c r="L229">
        <v>41890</v>
      </c>
      <c r="M229" t="s">
        <v>33</v>
      </c>
      <c r="N229" t="s">
        <v>87</v>
      </c>
      <c r="O229" t="s">
        <v>83</v>
      </c>
      <c r="P229" t="s">
        <v>84</v>
      </c>
      <c r="Q229" t="s">
        <v>85</v>
      </c>
      <c r="R229">
        <v>99999</v>
      </c>
      <c r="S229" t="s">
        <v>30</v>
      </c>
      <c r="T229" t="s">
        <v>48</v>
      </c>
      <c r="U229" t="s">
        <v>36</v>
      </c>
      <c r="V229" t="s">
        <v>37</v>
      </c>
      <c r="W229">
        <v>14</v>
      </c>
      <c r="X229">
        <v>67</v>
      </c>
      <c r="Y229">
        <v>938</v>
      </c>
      <c r="Z229">
        <v>98.490000000000009</v>
      </c>
    </row>
    <row r="230" spans="1:26" x14ac:dyDescent="0.35">
      <c r="A230">
        <v>1261</v>
      </c>
      <c r="B230">
        <v>41890</v>
      </c>
      <c r="C230">
        <v>8</v>
      </c>
      <c r="D230" t="s">
        <v>56</v>
      </c>
      <c r="E230" t="s">
        <v>57</v>
      </c>
      <c r="F230" t="s">
        <v>58</v>
      </c>
      <c r="G230" t="s">
        <v>59</v>
      </c>
      <c r="H230">
        <v>99999</v>
      </c>
      <c r="I230" t="s">
        <v>30</v>
      </c>
      <c r="J230" t="s">
        <v>60</v>
      </c>
      <c r="K230" t="s">
        <v>61</v>
      </c>
      <c r="L230">
        <v>41892</v>
      </c>
      <c r="M230" t="s">
        <v>33</v>
      </c>
      <c r="N230" t="s">
        <v>63</v>
      </c>
      <c r="O230" t="s">
        <v>57</v>
      </c>
      <c r="P230" t="s">
        <v>58</v>
      </c>
      <c r="Q230" t="s">
        <v>59</v>
      </c>
      <c r="R230">
        <v>99999</v>
      </c>
      <c r="S230" t="s">
        <v>30</v>
      </c>
      <c r="T230" t="s">
        <v>35</v>
      </c>
      <c r="U230" t="s">
        <v>88</v>
      </c>
      <c r="V230" t="s">
        <v>89</v>
      </c>
      <c r="W230">
        <v>40</v>
      </c>
      <c r="X230">
        <v>48</v>
      </c>
      <c r="Y230">
        <v>1920</v>
      </c>
      <c r="Z230">
        <v>188.16</v>
      </c>
    </row>
    <row r="231" spans="1:26" x14ac:dyDescent="0.35">
      <c r="A231">
        <v>1262</v>
      </c>
      <c r="B231">
        <v>41890</v>
      </c>
      <c r="C231">
        <v>8</v>
      </c>
      <c r="D231" t="s">
        <v>56</v>
      </c>
      <c r="E231" t="s">
        <v>57</v>
      </c>
      <c r="F231" t="s">
        <v>58</v>
      </c>
      <c r="G231" t="s">
        <v>59</v>
      </c>
      <c r="H231">
        <v>99999</v>
      </c>
      <c r="I231" t="s">
        <v>30</v>
      </c>
      <c r="J231" t="s">
        <v>60</v>
      </c>
      <c r="K231" t="s">
        <v>61</v>
      </c>
      <c r="L231">
        <v>41892</v>
      </c>
      <c r="M231" t="s">
        <v>33</v>
      </c>
      <c r="N231" t="s">
        <v>63</v>
      </c>
      <c r="O231" t="s">
        <v>57</v>
      </c>
      <c r="P231" t="s">
        <v>58</v>
      </c>
      <c r="Q231" t="s">
        <v>59</v>
      </c>
      <c r="R231">
        <v>99999</v>
      </c>
      <c r="S231" t="s">
        <v>30</v>
      </c>
      <c r="T231" t="s">
        <v>35</v>
      </c>
      <c r="U231" t="s">
        <v>64</v>
      </c>
      <c r="V231" t="s">
        <v>65</v>
      </c>
      <c r="W231">
        <v>9.1999999999999993</v>
      </c>
      <c r="X231">
        <v>77</v>
      </c>
      <c r="Y231">
        <v>708.4</v>
      </c>
      <c r="Z231">
        <v>72.256799999999998</v>
      </c>
    </row>
    <row r="232" spans="1:26" x14ac:dyDescent="0.35">
      <c r="A232">
        <v>1263</v>
      </c>
      <c r="B232">
        <v>41907</v>
      </c>
      <c r="C232">
        <v>25</v>
      </c>
      <c r="D232" t="s">
        <v>137</v>
      </c>
      <c r="E232" t="s">
        <v>138</v>
      </c>
      <c r="F232" t="s">
        <v>99</v>
      </c>
      <c r="G232" t="s">
        <v>100</v>
      </c>
      <c r="H232">
        <v>99999</v>
      </c>
      <c r="I232" t="s">
        <v>30</v>
      </c>
      <c r="J232" t="s">
        <v>101</v>
      </c>
      <c r="K232" t="s">
        <v>45</v>
      </c>
      <c r="L232">
        <v>41909</v>
      </c>
      <c r="M232" t="s">
        <v>46</v>
      </c>
      <c r="N232" t="s">
        <v>139</v>
      </c>
      <c r="O232" t="s">
        <v>138</v>
      </c>
      <c r="P232" t="s">
        <v>99</v>
      </c>
      <c r="Q232" t="s">
        <v>100</v>
      </c>
      <c r="R232">
        <v>99999</v>
      </c>
      <c r="S232" t="s">
        <v>30</v>
      </c>
      <c r="T232" t="s">
        <v>79</v>
      </c>
      <c r="U232" t="s">
        <v>146</v>
      </c>
      <c r="V232" t="s">
        <v>65</v>
      </c>
      <c r="W232">
        <v>10</v>
      </c>
      <c r="X232">
        <v>94</v>
      </c>
      <c r="Y232">
        <v>940</v>
      </c>
      <c r="Z232">
        <v>97.76</v>
      </c>
    </row>
    <row r="233" spans="1:26" x14ac:dyDescent="0.35">
      <c r="A233">
        <v>1264</v>
      </c>
      <c r="B233">
        <v>41908</v>
      </c>
      <c r="C233">
        <v>26</v>
      </c>
      <c r="D233" t="s">
        <v>140</v>
      </c>
      <c r="E233" t="s">
        <v>141</v>
      </c>
      <c r="F233" t="s">
        <v>115</v>
      </c>
      <c r="G233" t="s">
        <v>116</v>
      </c>
      <c r="H233">
        <v>99999</v>
      </c>
      <c r="I233" t="s">
        <v>30</v>
      </c>
      <c r="J233" t="s">
        <v>94</v>
      </c>
      <c r="K233" t="s">
        <v>95</v>
      </c>
      <c r="L233">
        <v>41910</v>
      </c>
      <c r="M233" t="s">
        <v>62</v>
      </c>
      <c r="N233" t="s">
        <v>142</v>
      </c>
      <c r="O233" t="s">
        <v>141</v>
      </c>
      <c r="P233" t="s">
        <v>115</v>
      </c>
      <c r="Q233" t="s">
        <v>116</v>
      </c>
      <c r="R233">
        <v>99999</v>
      </c>
      <c r="S233" t="s">
        <v>30</v>
      </c>
      <c r="T233" t="s">
        <v>48</v>
      </c>
      <c r="U233" t="s">
        <v>147</v>
      </c>
      <c r="V233" t="s">
        <v>148</v>
      </c>
      <c r="W233">
        <v>21.35</v>
      </c>
      <c r="X233">
        <v>54</v>
      </c>
      <c r="Y233">
        <v>1152.9000000000001</v>
      </c>
      <c r="Z233">
        <v>121.05450000000003</v>
      </c>
    </row>
    <row r="234" spans="1:26" x14ac:dyDescent="0.35">
      <c r="A234">
        <v>1265</v>
      </c>
      <c r="B234">
        <v>41908</v>
      </c>
      <c r="C234">
        <v>26</v>
      </c>
      <c r="D234" t="s">
        <v>140</v>
      </c>
      <c r="E234" t="s">
        <v>141</v>
      </c>
      <c r="F234" t="s">
        <v>115</v>
      </c>
      <c r="G234" t="s">
        <v>116</v>
      </c>
      <c r="H234">
        <v>99999</v>
      </c>
      <c r="I234" t="s">
        <v>30</v>
      </c>
      <c r="J234" t="s">
        <v>94</v>
      </c>
      <c r="K234" t="s">
        <v>95</v>
      </c>
      <c r="L234">
        <v>41910</v>
      </c>
      <c r="M234" t="s">
        <v>62</v>
      </c>
      <c r="N234" t="s">
        <v>142</v>
      </c>
      <c r="O234" t="s">
        <v>141</v>
      </c>
      <c r="P234" t="s">
        <v>115</v>
      </c>
      <c r="Q234" t="s">
        <v>116</v>
      </c>
      <c r="R234">
        <v>99999</v>
      </c>
      <c r="S234" t="s">
        <v>30</v>
      </c>
      <c r="T234" t="s">
        <v>48</v>
      </c>
      <c r="U234" t="s">
        <v>80</v>
      </c>
      <c r="V234" t="s">
        <v>81</v>
      </c>
      <c r="W234">
        <v>9.65</v>
      </c>
      <c r="X234">
        <v>43</v>
      </c>
      <c r="Y234">
        <v>414.95</v>
      </c>
      <c r="Z234">
        <v>40.250150000000005</v>
      </c>
    </row>
    <row r="235" spans="1:26" x14ac:dyDescent="0.35">
      <c r="A235">
        <v>1266</v>
      </c>
      <c r="B235">
        <v>41908</v>
      </c>
      <c r="C235">
        <v>26</v>
      </c>
      <c r="D235" t="s">
        <v>140</v>
      </c>
      <c r="E235" t="s">
        <v>141</v>
      </c>
      <c r="F235" t="s">
        <v>115</v>
      </c>
      <c r="G235" t="s">
        <v>116</v>
      </c>
      <c r="H235">
        <v>99999</v>
      </c>
      <c r="I235" t="s">
        <v>30</v>
      </c>
      <c r="J235" t="s">
        <v>94</v>
      </c>
      <c r="K235" t="s">
        <v>95</v>
      </c>
      <c r="L235">
        <v>41910</v>
      </c>
      <c r="M235" t="s">
        <v>62</v>
      </c>
      <c r="N235" t="s">
        <v>142</v>
      </c>
      <c r="O235" t="s">
        <v>141</v>
      </c>
      <c r="P235" t="s">
        <v>115</v>
      </c>
      <c r="Q235" t="s">
        <v>116</v>
      </c>
      <c r="R235">
        <v>99999</v>
      </c>
      <c r="S235" t="s">
        <v>30</v>
      </c>
      <c r="T235" t="s">
        <v>48</v>
      </c>
      <c r="U235" t="s">
        <v>123</v>
      </c>
      <c r="V235" t="s">
        <v>124</v>
      </c>
      <c r="W235">
        <v>18.399999999999999</v>
      </c>
      <c r="X235">
        <v>71</v>
      </c>
      <c r="Y235">
        <v>1306.3999999999999</v>
      </c>
      <c r="Z235">
        <v>134.55919999999998</v>
      </c>
    </row>
    <row r="236" spans="1:26" x14ac:dyDescent="0.35">
      <c r="A236">
        <v>1267</v>
      </c>
      <c r="B236">
        <v>41911</v>
      </c>
      <c r="C236">
        <v>29</v>
      </c>
      <c r="D236" t="s">
        <v>66</v>
      </c>
      <c r="E236" t="s">
        <v>67</v>
      </c>
      <c r="F236" t="s">
        <v>68</v>
      </c>
      <c r="G236" t="s">
        <v>69</v>
      </c>
      <c r="H236">
        <v>99999</v>
      </c>
      <c r="I236" t="s">
        <v>30</v>
      </c>
      <c r="J236" t="s">
        <v>70</v>
      </c>
      <c r="K236" t="s">
        <v>32</v>
      </c>
      <c r="L236">
        <v>41913</v>
      </c>
      <c r="M236" t="s">
        <v>33</v>
      </c>
      <c r="N236" t="s">
        <v>71</v>
      </c>
      <c r="O236" t="s">
        <v>67</v>
      </c>
      <c r="P236" t="s">
        <v>68</v>
      </c>
      <c r="Q236" t="s">
        <v>69</v>
      </c>
      <c r="R236">
        <v>99999</v>
      </c>
      <c r="S236" t="s">
        <v>30</v>
      </c>
      <c r="T236" t="s">
        <v>35</v>
      </c>
      <c r="U236" t="s">
        <v>36</v>
      </c>
      <c r="V236" t="s">
        <v>37</v>
      </c>
      <c r="W236">
        <v>14</v>
      </c>
      <c r="X236">
        <v>50</v>
      </c>
      <c r="Y236">
        <v>700</v>
      </c>
      <c r="Z236">
        <v>67.2</v>
      </c>
    </row>
    <row r="237" spans="1:26" x14ac:dyDescent="0.35">
      <c r="A237">
        <v>1268</v>
      </c>
      <c r="B237">
        <v>41888</v>
      </c>
      <c r="C237">
        <v>6</v>
      </c>
      <c r="D237" t="s">
        <v>82</v>
      </c>
      <c r="E237" t="s">
        <v>83</v>
      </c>
      <c r="F237" t="s">
        <v>84</v>
      </c>
      <c r="G237" t="s">
        <v>85</v>
      </c>
      <c r="H237">
        <v>99999</v>
      </c>
      <c r="I237" t="s">
        <v>30</v>
      </c>
      <c r="J237" t="s">
        <v>86</v>
      </c>
      <c r="K237" t="s">
        <v>61</v>
      </c>
      <c r="L237">
        <v>41890</v>
      </c>
      <c r="M237" t="s">
        <v>62</v>
      </c>
      <c r="N237" t="s">
        <v>87</v>
      </c>
      <c r="O237" t="s">
        <v>83</v>
      </c>
      <c r="P237" t="s">
        <v>84</v>
      </c>
      <c r="Q237" t="s">
        <v>85</v>
      </c>
      <c r="R237">
        <v>99999</v>
      </c>
      <c r="S237" t="s">
        <v>30</v>
      </c>
      <c r="T237" t="s">
        <v>35</v>
      </c>
      <c r="U237" t="s">
        <v>72</v>
      </c>
      <c r="V237" t="s">
        <v>73</v>
      </c>
      <c r="W237">
        <v>12.75</v>
      </c>
      <c r="X237">
        <v>96</v>
      </c>
      <c r="Y237">
        <v>1224</v>
      </c>
      <c r="Z237">
        <v>119.952</v>
      </c>
    </row>
    <row r="238" spans="1:26" x14ac:dyDescent="0.35">
      <c r="A238">
        <v>1270</v>
      </c>
      <c r="B238">
        <v>41886</v>
      </c>
      <c r="C238">
        <v>4</v>
      </c>
      <c r="D238" t="s">
        <v>40</v>
      </c>
      <c r="E238" t="s">
        <v>41</v>
      </c>
      <c r="F238" t="s">
        <v>42</v>
      </c>
      <c r="G238" t="s">
        <v>43</v>
      </c>
      <c r="H238">
        <v>99999</v>
      </c>
      <c r="I238" t="s">
        <v>30</v>
      </c>
      <c r="J238" t="s">
        <v>44</v>
      </c>
      <c r="K238" t="s">
        <v>45</v>
      </c>
      <c r="L238">
        <v>41888</v>
      </c>
      <c r="M238" t="s">
        <v>46</v>
      </c>
      <c r="N238" t="s">
        <v>47</v>
      </c>
      <c r="O238" t="s">
        <v>41</v>
      </c>
      <c r="P238" t="s">
        <v>42</v>
      </c>
      <c r="Q238" t="s">
        <v>43</v>
      </c>
      <c r="R238">
        <v>99999</v>
      </c>
      <c r="S238" t="s">
        <v>30</v>
      </c>
      <c r="T238" t="s">
        <v>48</v>
      </c>
      <c r="U238" t="s">
        <v>149</v>
      </c>
      <c r="V238" t="s">
        <v>110</v>
      </c>
      <c r="W238">
        <v>81</v>
      </c>
      <c r="X238">
        <v>54</v>
      </c>
      <c r="Y238">
        <v>4374</v>
      </c>
      <c r="Z238">
        <v>437.40000000000003</v>
      </c>
    </row>
    <row r="239" spans="1:26" x14ac:dyDescent="0.35">
      <c r="A239">
        <v>1271</v>
      </c>
      <c r="B239">
        <v>41886</v>
      </c>
      <c r="C239">
        <v>4</v>
      </c>
      <c r="D239" t="s">
        <v>40</v>
      </c>
      <c r="E239" t="s">
        <v>41</v>
      </c>
      <c r="F239" t="s">
        <v>42</v>
      </c>
      <c r="G239" t="s">
        <v>43</v>
      </c>
      <c r="H239">
        <v>99999</v>
      </c>
      <c r="I239" t="s">
        <v>30</v>
      </c>
      <c r="J239" t="s">
        <v>44</v>
      </c>
      <c r="K239" t="s">
        <v>45</v>
      </c>
      <c r="L239">
        <v>41888</v>
      </c>
      <c r="M239" t="s">
        <v>46</v>
      </c>
      <c r="N239" t="s">
        <v>47</v>
      </c>
      <c r="O239" t="s">
        <v>41</v>
      </c>
      <c r="P239" t="s">
        <v>42</v>
      </c>
      <c r="Q239" t="s">
        <v>43</v>
      </c>
      <c r="R239">
        <v>99999</v>
      </c>
      <c r="S239" t="s">
        <v>30</v>
      </c>
      <c r="T239" t="s">
        <v>48</v>
      </c>
      <c r="U239" t="s">
        <v>150</v>
      </c>
      <c r="V239" t="s">
        <v>151</v>
      </c>
      <c r="W239">
        <v>7</v>
      </c>
      <c r="X239">
        <v>39</v>
      </c>
      <c r="Y239">
        <v>273</v>
      </c>
      <c r="Z239">
        <v>27.3</v>
      </c>
    </row>
    <row r="240" spans="1:26" x14ac:dyDescent="0.35">
      <c r="A240">
        <v>1273</v>
      </c>
      <c r="B240">
        <v>41890</v>
      </c>
      <c r="C240">
        <v>8</v>
      </c>
      <c r="D240" t="s">
        <v>56</v>
      </c>
      <c r="E240" t="s">
        <v>57</v>
      </c>
      <c r="F240" t="s">
        <v>58</v>
      </c>
      <c r="G240" t="s">
        <v>59</v>
      </c>
      <c r="H240">
        <v>99999</v>
      </c>
      <c r="I240" t="s">
        <v>30</v>
      </c>
      <c r="J240" t="s">
        <v>60</v>
      </c>
      <c r="K240" t="s">
        <v>61</v>
      </c>
      <c r="L240">
        <v>41892</v>
      </c>
      <c r="M240" t="s">
        <v>62</v>
      </c>
      <c r="N240" t="s">
        <v>63</v>
      </c>
      <c r="O240" t="s">
        <v>57</v>
      </c>
      <c r="P240" t="s">
        <v>58</v>
      </c>
      <c r="Q240" t="s">
        <v>59</v>
      </c>
      <c r="R240">
        <v>99999</v>
      </c>
      <c r="S240" t="s">
        <v>30</v>
      </c>
      <c r="T240" t="s">
        <v>48</v>
      </c>
      <c r="U240" t="s">
        <v>133</v>
      </c>
      <c r="V240" t="s">
        <v>134</v>
      </c>
      <c r="W240">
        <v>34.799999999999997</v>
      </c>
      <c r="X240">
        <v>63</v>
      </c>
      <c r="Y240">
        <v>2192.3999999999996</v>
      </c>
      <c r="Z240">
        <v>230.202</v>
      </c>
    </row>
    <row r="241" spans="1:26" x14ac:dyDescent="0.35">
      <c r="A241">
        <v>1276</v>
      </c>
      <c r="B241">
        <v>41885</v>
      </c>
      <c r="C241">
        <v>3</v>
      </c>
      <c r="D241" t="s">
        <v>74</v>
      </c>
      <c r="E241" t="s">
        <v>75</v>
      </c>
      <c r="F241" t="s">
        <v>76</v>
      </c>
      <c r="G241" t="s">
        <v>77</v>
      </c>
      <c r="H241">
        <v>99999</v>
      </c>
      <c r="I241" t="s">
        <v>30</v>
      </c>
      <c r="J241" t="s">
        <v>31</v>
      </c>
      <c r="K241" t="s">
        <v>32</v>
      </c>
      <c r="L241">
        <v>41887</v>
      </c>
      <c r="M241" t="s">
        <v>33</v>
      </c>
      <c r="N241" t="s">
        <v>78</v>
      </c>
      <c r="O241" t="s">
        <v>75</v>
      </c>
      <c r="P241" t="s">
        <v>76</v>
      </c>
      <c r="Q241" t="s">
        <v>77</v>
      </c>
      <c r="R241">
        <v>99999</v>
      </c>
      <c r="S241" t="s">
        <v>30</v>
      </c>
      <c r="T241" t="s">
        <v>79</v>
      </c>
      <c r="U241" t="s">
        <v>135</v>
      </c>
      <c r="V241" t="s">
        <v>112</v>
      </c>
      <c r="W241">
        <v>10</v>
      </c>
      <c r="X241">
        <v>71</v>
      </c>
      <c r="Y241">
        <v>710</v>
      </c>
      <c r="Z241">
        <v>73.13</v>
      </c>
    </row>
    <row r="242" spans="1:26" x14ac:dyDescent="0.35">
      <c r="A242">
        <v>1277</v>
      </c>
      <c r="B242">
        <v>41885</v>
      </c>
      <c r="C242">
        <v>3</v>
      </c>
      <c r="D242" t="s">
        <v>74</v>
      </c>
      <c r="E242" t="s">
        <v>75</v>
      </c>
      <c r="F242" t="s">
        <v>76</v>
      </c>
      <c r="G242" t="s">
        <v>77</v>
      </c>
      <c r="H242">
        <v>99999</v>
      </c>
      <c r="I242" t="s">
        <v>30</v>
      </c>
      <c r="J242" t="s">
        <v>31</v>
      </c>
      <c r="K242" t="s">
        <v>32</v>
      </c>
      <c r="L242">
        <v>41887</v>
      </c>
      <c r="M242" t="s">
        <v>33</v>
      </c>
      <c r="N242" t="s">
        <v>78</v>
      </c>
      <c r="O242" t="s">
        <v>75</v>
      </c>
      <c r="P242" t="s">
        <v>76</v>
      </c>
      <c r="Q242" t="s">
        <v>77</v>
      </c>
      <c r="R242">
        <v>99999</v>
      </c>
      <c r="S242" t="s">
        <v>30</v>
      </c>
      <c r="T242" t="s">
        <v>79</v>
      </c>
      <c r="U242" t="s">
        <v>88</v>
      </c>
      <c r="V242" t="s">
        <v>89</v>
      </c>
      <c r="W242">
        <v>40</v>
      </c>
      <c r="X242">
        <v>88</v>
      </c>
      <c r="Y242">
        <v>3520</v>
      </c>
      <c r="Z242">
        <v>366.08000000000004</v>
      </c>
    </row>
    <row r="243" spans="1:26" x14ac:dyDescent="0.35">
      <c r="A243">
        <v>1281</v>
      </c>
      <c r="B243">
        <v>41892</v>
      </c>
      <c r="C243">
        <v>10</v>
      </c>
      <c r="D243" t="s">
        <v>97</v>
      </c>
      <c r="E243" t="s">
        <v>98</v>
      </c>
      <c r="F243" t="s">
        <v>99</v>
      </c>
      <c r="G243" t="s">
        <v>100</v>
      </c>
      <c r="H243">
        <v>99999</v>
      </c>
      <c r="I243" t="s">
        <v>30</v>
      </c>
      <c r="J243" t="s">
        <v>101</v>
      </c>
      <c r="K243" t="s">
        <v>45</v>
      </c>
      <c r="L243">
        <v>41894</v>
      </c>
      <c r="M243" t="s">
        <v>33</v>
      </c>
      <c r="N243" t="s">
        <v>102</v>
      </c>
      <c r="O243" t="s">
        <v>98</v>
      </c>
      <c r="P243" t="s">
        <v>99</v>
      </c>
      <c r="Q243" t="s">
        <v>100</v>
      </c>
      <c r="R243">
        <v>99999</v>
      </c>
      <c r="S243" t="s">
        <v>30</v>
      </c>
      <c r="T243" t="s">
        <v>48</v>
      </c>
      <c r="U243" t="s">
        <v>136</v>
      </c>
      <c r="V243" t="s">
        <v>39</v>
      </c>
      <c r="W243">
        <v>10</v>
      </c>
      <c r="X243">
        <v>59</v>
      </c>
      <c r="Y243">
        <v>590</v>
      </c>
      <c r="Z243">
        <v>59.59</v>
      </c>
    </row>
    <row r="244" spans="1:26" x14ac:dyDescent="0.35">
      <c r="A244">
        <v>1282</v>
      </c>
      <c r="B244">
        <v>41918</v>
      </c>
      <c r="C244">
        <v>6</v>
      </c>
      <c r="D244" t="s">
        <v>82</v>
      </c>
      <c r="E244" t="s">
        <v>83</v>
      </c>
      <c r="F244" t="s">
        <v>84</v>
      </c>
      <c r="G244" t="s">
        <v>85</v>
      </c>
      <c r="H244">
        <v>99999</v>
      </c>
      <c r="I244" t="s">
        <v>30</v>
      </c>
      <c r="J244" t="s">
        <v>86</v>
      </c>
      <c r="K244" t="s">
        <v>61</v>
      </c>
      <c r="L244">
        <v>41920</v>
      </c>
      <c r="M244" t="s">
        <v>33</v>
      </c>
      <c r="N244" t="s">
        <v>87</v>
      </c>
      <c r="O244" t="s">
        <v>83</v>
      </c>
      <c r="P244" t="s">
        <v>84</v>
      </c>
      <c r="Q244" t="s">
        <v>85</v>
      </c>
      <c r="R244">
        <v>99999</v>
      </c>
      <c r="S244" t="s">
        <v>30</v>
      </c>
      <c r="T244" t="s">
        <v>48</v>
      </c>
      <c r="U244" t="s">
        <v>88</v>
      </c>
      <c r="V244" t="s">
        <v>89</v>
      </c>
      <c r="W244">
        <v>40</v>
      </c>
      <c r="X244">
        <v>94</v>
      </c>
      <c r="Y244">
        <v>3760</v>
      </c>
      <c r="Z244">
        <v>376</v>
      </c>
    </row>
    <row r="245" spans="1:26" x14ac:dyDescent="0.35">
      <c r="A245">
        <v>1283</v>
      </c>
      <c r="B245">
        <v>41940</v>
      </c>
      <c r="C245">
        <v>28</v>
      </c>
      <c r="D245" t="s">
        <v>90</v>
      </c>
      <c r="E245" t="s">
        <v>91</v>
      </c>
      <c r="F245" t="s">
        <v>92</v>
      </c>
      <c r="G245" t="s">
        <v>93</v>
      </c>
      <c r="H245">
        <v>99999</v>
      </c>
      <c r="I245" t="s">
        <v>30</v>
      </c>
      <c r="J245" t="s">
        <v>94</v>
      </c>
      <c r="K245" t="s">
        <v>95</v>
      </c>
      <c r="L245">
        <v>41942</v>
      </c>
      <c r="M245" t="s">
        <v>62</v>
      </c>
      <c r="N245" t="s">
        <v>96</v>
      </c>
      <c r="O245" t="s">
        <v>91</v>
      </c>
      <c r="P245" t="s">
        <v>92</v>
      </c>
      <c r="Q245" t="s">
        <v>93</v>
      </c>
      <c r="R245">
        <v>99999</v>
      </c>
      <c r="S245" t="s">
        <v>30</v>
      </c>
      <c r="T245" t="s">
        <v>35</v>
      </c>
      <c r="U245" t="s">
        <v>55</v>
      </c>
      <c r="V245" t="s">
        <v>37</v>
      </c>
      <c r="W245">
        <v>46</v>
      </c>
      <c r="X245">
        <v>86</v>
      </c>
      <c r="Y245">
        <v>3956</v>
      </c>
      <c r="Z245">
        <v>379.77600000000001</v>
      </c>
    </row>
    <row r="246" spans="1:26" x14ac:dyDescent="0.35">
      <c r="A246">
        <v>1284</v>
      </c>
      <c r="B246">
        <v>41920</v>
      </c>
      <c r="C246">
        <v>8</v>
      </c>
      <c r="D246" t="s">
        <v>56</v>
      </c>
      <c r="E246" t="s">
        <v>57</v>
      </c>
      <c r="F246" t="s">
        <v>58</v>
      </c>
      <c r="G246" t="s">
        <v>59</v>
      </c>
      <c r="H246">
        <v>99999</v>
      </c>
      <c r="I246" t="s">
        <v>30</v>
      </c>
      <c r="J246" t="s">
        <v>60</v>
      </c>
      <c r="K246" t="s">
        <v>61</v>
      </c>
      <c r="L246">
        <v>41922</v>
      </c>
      <c r="M246" t="s">
        <v>62</v>
      </c>
      <c r="N246" t="s">
        <v>63</v>
      </c>
      <c r="O246" t="s">
        <v>57</v>
      </c>
      <c r="P246" t="s">
        <v>58</v>
      </c>
      <c r="Q246" t="s">
        <v>59</v>
      </c>
      <c r="R246">
        <v>99999</v>
      </c>
      <c r="S246" t="s">
        <v>30</v>
      </c>
      <c r="T246" t="s">
        <v>35</v>
      </c>
      <c r="U246" t="s">
        <v>72</v>
      </c>
      <c r="V246" t="s">
        <v>73</v>
      </c>
      <c r="W246">
        <v>12.75</v>
      </c>
      <c r="X246">
        <v>61</v>
      </c>
      <c r="Y246">
        <v>777.75</v>
      </c>
      <c r="Z246">
        <v>78.552750000000003</v>
      </c>
    </row>
    <row r="247" spans="1:26" x14ac:dyDescent="0.35">
      <c r="A247">
        <v>1285</v>
      </c>
      <c r="B247">
        <v>41922</v>
      </c>
      <c r="C247">
        <v>10</v>
      </c>
      <c r="D247" t="s">
        <v>97</v>
      </c>
      <c r="E247" t="s">
        <v>98</v>
      </c>
      <c r="F247" t="s">
        <v>99</v>
      </c>
      <c r="G247" t="s">
        <v>100</v>
      </c>
      <c r="H247">
        <v>99999</v>
      </c>
      <c r="I247" t="s">
        <v>30</v>
      </c>
      <c r="J247" t="s">
        <v>101</v>
      </c>
      <c r="K247" t="s">
        <v>45</v>
      </c>
      <c r="L247">
        <v>41924</v>
      </c>
      <c r="M247" t="s">
        <v>33</v>
      </c>
      <c r="N247" t="s">
        <v>102</v>
      </c>
      <c r="O247" t="s">
        <v>98</v>
      </c>
      <c r="P247" t="s">
        <v>99</v>
      </c>
      <c r="Q247" t="s">
        <v>100</v>
      </c>
      <c r="R247">
        <v>99999</v>
      </c>
      <c r="S247" t="s">
        <v>30</v>
      </c>
      <c r="T247" t="s">
        <v>48</v>
      </c>
      <c r="U247" t="s">
        <v>103</v>
      </c>
      <c r="V247" t="s">
        <v>37</v>
      </c>
      <c r="W247">
        <v>2.99</v>
      </c>
      <c r="X247">
        <v>32</v>
      </c>
      <c r="Y247">
        <v>95.68</v>
      </c>
      <c r="Z247">
        <v>9.7593600000000009</v>
      </c>
    </row>
    <row r="248" spans="1:26" x14ac:dyDescent="0.35">
      <c r="A248">
        <v>1286</v>
      </c>
      <c r="B248">
        <v>41919</v>
      </c>
      <c r="C248">
        <v>7</v>
      </c>
      <c r="D248" t="s">
        <v>104</v>
      </c>
      <c r="E248" t="s">
        <v>105</v>
      </c>
      <c r="F248" t="s">
        <v>106</v>
      </c>
      <c r="G248" t="s">
        <v>107</v>
      </c>
      <c r="H248">
        <v>99999</v>
      </c>
      <c r="I248" t="s">
        <v>30</v>
      </c>
      <c r="J248" t="s">
        <v>60</v>
      </c>
      <c r="K248" t="s">
        <v>61</v>
      </c>
      <c r="N248" t="s">
        <v>108</v>
      </c>
      <c r="O248" t="s">
        <v>105</v>
      </c>
      <c r="P248" t="s">
        <v>106</v>
      </c>
      <c r="Q248" t="s">
        <v>107</v>
      </c>
      <c r="R248">
        <v>99999</v>
      </c>
      <c r="S248" t="s">
        <v>30</v>
      </c>
      <c r="U248" t="s">
        <v>55</v>
      </c>
      <c r="V248" t="s">
        <v>37</v>
      </c>
      <c r="W248">
        <v>46</v>
      </c>
      <c r="X248">
        <v>62</v>
      </c>
      <c r="Y248">
        <v>2852</v>
      </c>
      <c r="Z248">
        <v>290.904</v>
      </c>
    </row>
    <row r="249" spans="1:26" x14ac:dyDescent="0.35">
      <c r="A249">
        <v>1287</v>
      </c>
      <c r="B249">
        <v>41922</v>
      </c>
      <c r="C249">
        <v>10</v>
      </c>
      <c r="D249" t="s">
        <v>97</v>
      </c>
      <c r="E249" t="s">
        <v>98</v>
      </c>
      <c r="F249" t="s">
        <v>99</v>
      </c>
      <c r="G249" t="s">
        <v>100</v>
      </c>
      <c r="H249">
        <v>99999</v>
      </c>
      <c r="I249" t="s">
        <v>30</v>
      </c>
      <c r="J249" t="s">
        <v>101</v>
      </c>
      <c r="K249" t="s">
        <v>45</v>
      </c>
      <c r="L249">
        <v>41924</v>
      </c>
      <c r="M249" t="s">
        <v>46</v>
      </c>
      <c r="N249" t="s">
        <v>102</v>
      </c>
      <c r="O249" t="s">
        <v>98</v>
      </c>
      <c r="P249" t="s">
        <v>99</v>
      </c>
      <c r="Q249" t="s">
        <v>100</v>
      </c>
      <c r="R249">
        <v>99999</v>
      </c>
      <c r="S249" t="s">
        <v>30</v>
      </c>
      <c r="U249" t="s">
        <v>109</v>
      </c>
      <c r="V249" t="s">
        <v>110</v>
      </c>
      <c r="W249">
        <v>25</v>
      </c>
      <c r="X249">
        <v>60</v>
      </c>
      <c r="Y249">
        <v>1500</v>
      </c>
      <c r="Z249">
        <v>154.5</v>
      </c>
    </row>
    <row r="250" spans="1:26" x14ac:dyDescent="0.35">
      <c r="A250">
        <v>1288</v>
      </c>
      <c r="B250">
        <v>41922</v>
      </c>
      <c r="C250">
        <v>10</v>
      </c>
      <c r="D250" t="s">
        <v>97</v>
      </c>
      <c r="E250" t="s">
        <v>98</v>
      </c>
      <c r="F250" t="s">
        <v>99</v>
      </c>
      <c r="G250" t="s">
        <v>100</v>
      </c>
      <c r="H250">
        <v>99999</v>
      </c>
      <c r="I250" t="s">
        <v>30</v>
      </c>
      <c r="J250" t="s">
        <v>101</v>
      </c>
      <c r="K250" t="s">
        <v>45</v>
      </c>
      <c r="L250">
        <v>41924</v>
      </c>
      <c r="M250" t="s">
        <v>46</v>
      </c>
      <c r="N250" t="s">
        <v>102</v>
      </c>
      <c r="O250" t="s">
        <v>98</v>
      </c>
      <c r="P250" t="s">
        <v>99</v>
      </c>
      <c r="Q250" t="s">
        <v>100</v>
      </c>
      <c r="R250">
        <v>99999</v>
      </c>
      <c r="S250" t="s">
        <v>30</v>
      </c>
      <c r="U250" t="s">
        <v>111</v>
      </c>
      <c r="V250" t="s">
        <v>112</v>
      </c>
      <c r="W250">
        <v>22</v>
      </c>
      <c r="X250">
        <v>51</v>
      </c>
      <c r="Y250">
        <v>1122</v>
      </c>
      <c r="Z250">
        <v>109.956</v>
      </c>
    </row>
    <row r="251" spans="1:26" x14ac:dyDescent="0.35">
      <c r="A251">
        <v>1289</v>
      </c>
      <c r="B251">
        <v>41922</v>
      </c>
      <c r="C251">
        <v>10</v>
      </c>
      <c r="D251" t="s">
        <v>97</v>
      </c>
      <c r="E251" t="s">
        <v>98</v>
      </c>
      <c r="F251" t="s">
        <v>99</v>
      </c>
      <c r="G251" t="s">
        <v>100</v>
      </c>
      <c r="H251">
        <v>99999</v>
      </c>
      <c r="I251" t="s">
        <v>30</v>
      </c>
      <c r="J251" t="s">
        <v>101</v>
      </c>
      <c r="K251" t="s">
        <v>45</v>
      </c>
      <c r="L251">
        <v>41924</v>
      </c>
      <c r="M251" t="s">
        <v>46</v>
      </c>
      <c r="N251" t="s">
        <v>102</v>
      </c>
      <c r="O251" t="s">
        <v>98</v>
      </c>
      <c r="P251" t="s">
        <v>99</v>
      </c>
      <c r="Q251" t="s">
        <v>100</v>
      </c>
      <c r="R251">
        <v>99999</v>
      </c>
      <c r="S251" t="s">
        <v>30</v>
      </c>
      <c r="U251" t="s">
        <v>64</v>
      </c>
      <c r="V251" t="s">
        <v>65</v>
      </c>
      <c r="W251">
        <v>9.1999999999999993</v>
      </c>
      <c r="X251">
        <v>49</v>
      </c>
      <c r="Y251">
        <v>450.79999999999995</v>
      </c>
      <c r="Z251">
        <v>44.629199999999997</v>
      </c>
    </row>
    <row r="252" spans="1:26" x14ac:dyDescent="0.35">
      <c r="A252">
        <v>1290</v>
      </c>
      <c r="B252">
        <v>41923</v>
      </c>
      <c r="C252">
        <v>11</v>
      </c>
      <c r="D252" t="s">
        <v>113</v>
      </c>
      <c r="E252" t="s">
        <v>114</v>
      </c>
      <c r="F252" t="s">
        <v>115</v>
      </c>
      <c r="G252" t="s">
        <v>116</v>
      </c>
      <c r="H252">
        <v>99999</v>
      </c>
      <c r="I252" t="s">
        <v>30</v>
      </c>
      <c r="J252" t="s">
        <v>94</v>
      </c>
      <c r="K252" t="s">
        <v>95</v>
      </c>
      <c r="M252" t="s">
        <v>62</v>
      </c>
      <c r="N252" t="s">
        <v>117</v>
      </c>
      <c r="O252" t="s">
        <v>114</v>
      </c>
      <c r="P252" t="s">
        <v>115</v>
      </c>
      <c r="Q252" t="s">
        <v>116</v>
      </c>
      <c r="R252">
        <v>99999</v>
      </c>
      <c r="S252" t="s">
        <v>30</v>
      </c>
      <c r="U252" t="s">
        <v>38</v>
      </c>
      <c r="V252" t="s">
        <v>39</v>
      </c>
      <c r="W252">
        <v>3.5</v>
      </c>
      <c r="X252">
        <v>20</v>
      </c>
      <c r="Y252">
        <v>70</v>
      </c>
      <c r="Z252">
        <v>6.93</v>
      </c>
    </row>
    <row r="253" spans="1:26" x14ac:dyDescent="0.35">
      <c r="A253">
        <v>1291</v>
      </c>
      <c r="B253">
        <v>41923</v>
      </c>
      <c r="C253">
        <v>11</v>
      </c>
      <c r="D253" t="s">
        <v>113</v>
      </c>
      <c r="E253" t="s">
        <v>114</v>
      </c>
      <c r="F253" t="s">
        <v>115</v>
      </c>
      <c r="G253" t="s">
        <v>116</v>
      </c>
      <c r="H253">
        <v>99999</v>
      </c>
      <c r="I253" t="s">
        <v>30</v>
      </c>
      <c r="J253" t="s">
        <v>94</v>
      </c>
      <c r="K253" t="s">
        <v>95</v>
      </c>
      <c r="M253" t="s">
        <v>62</v>
      </c>
      <c r="N253" t="s">
        <v>117</v>
      </c>
      <c r="O253" t="s">
        <v>114</v>
      </c>
      <c r="P253" t="s">
        <v>115</v>
      </c>
      <c r="Q253" t="s">
        <v>116</v>
      </c>
      <c r="R253">
        <v>99999</v>
      </c>
      <c r="S253" t="s">
        <v>30</v>
      </c>
      <c r="U253" t="s">
        <v>103</v>
      </c>
      <c r="V253" t="s">
        <v>37</v>
      </c>
      <c r="W253">
        <v>2.99</v>
      </c>
      <c r="X253">
        <v>49</v>
      </c>
      <c r="Y253">
        <v>146.51000000000002</v>
      </c>
      <c r="Z253">
        <v>14.651000000000003</v>
      </c>
    </row>
    <row r="254" spans="1:26" x14ac:dyDescent="0.35">
      <c r="A254">
        <v>1292</v>
      </c>
      <c r="B254">
        <v>41913</v>
      </c>
      <c r="C254">
        <v>1</v>
      </c>
      <c r="D254" t="s">
        <v>118</v>
      </c>
      <c r="E254" t="s">
        <v>119</v>
      </c>
      <c r="F254" t="s">
        <v>120</v>
      </c>
      <c r="G254" t="s">
        <v>121</v>
      </c>
      <c r="H254">
        <v>99999</v>
      </c>
      <c r="I254" t="s">
        <v>30</v>
      </c>
      <c r="J254" t="s">
        <v>60</v>
      </c>
      <c r="K254" t="s">
        <v>61</v>
      </c>
      <c r="N254" t="s">
        <v>122</v>
      </c>
      <c r="O254" t="s">
        <v>119</v>
      </c>
      <c r="P254" t="s">
        <v>120</v>
      </c>
      <c r="Q254" t="s">
        <v>121</v>
      </c>
      <c r="R254">
        <v>99999</v>
      </c>
      <c r="S254" t="s">
        <v>30</v>
      </c>
      <c r="U254" t="s">
        <v>54</v>
      </c>
      <c r="V254" t="s">
        <v>37</v>
      </c>
      <c r="W254">
        <v>18</v>
      </c>
      <c r="X254">
        <v>22</v>
      </c>
      <c r="Y254">
        <v>396</v>
      </c>
      <c r="Z254">
        <v>38.015999999999998</v>
      </c>
    </row>
    <row r="255" spans="1:26" x14ac:dyDescent="0.35">
      <c r="A255">
        <v>1293</v>
      </c>
      <c r="B255">
        <v>41913</v>
      </c>
      <c r="C255">
        <v>1</v>
      </c>
      <c r="D255" t="s">
        <v>118</v>
      </c>
      <c r="E255" t="s">
        <v>119</v>
      </c>
      <c r="F255" t="s">
        <v>120</v>
      </c>
      <c r="G255" t="s">
        <v>121</v>
      </c>
      <c r="H255">
        <v>99999</v>
      </c>
      <c r="I255" t="s">
        <v>30</v>
      </c>
      <c r="J255" t="s">
        <v>60</v>
      </c>
      <c r="K255" t="s">
        <v>61</v>
      </c>
      <c r="N255" t="s">
        <v>122</v>
      </c>
      <c r="O255" t="s">
        <v>119</v>
      </c>
      <c r="P255" t="s">
        <v>120</v>
      </c>
      <c r="Q255" t="s">
        <v>121</v>
      </c>
      <c r="R255">
        <v>99999</v>
      </c>
      <c r="S255" t="s">
        <v>30</v>
      </c>
      <c r="U255" t="s">
        <v>55</v>
      </c>
      <c r="V255" t="s">
        <v>37</v>
      </c>
      <c r="W255">
        <v>46</v>
      </c>
      <c r="X255">
        <v>73</v>
      </c>
      <c r="Y255">
        <v>3358</v>
      </c>
      <c r="Z255">
        <v>339.15800000000002</v>
      </c>
    </row>
    <row r="256" spans="1:26" x14ac:dyDescent="0.35">
      <c r="A256">
        <v>1294</v>
      </c>
      <c r="B256">
        <v>41913</v>
      </c>
      <c r="C256">
        <v>1</v>
      </c>
      <c r="D256" t="s">
        <v>118</v>
      </c>
      <c r="E256" t="s">
        <v>119</v>
      </c>
      <c r="F256" t="s">
        <v>120</v>
      </c>
      <c r="G256" t="s">
        <v>121</v>
      </c>
      <c r="H256">
        <v>99999</v>
      </c>
      <c r="I256" t="s">
        <v>30</v>
      </c>
      <c r="J256" t="s">
        <v>60</v>
      </c>
      <c r="K256" t="s">
        <v>61</v>
      </c>
      <c r="N256" t="s">
        <v>122</v>
      </c>
      <c r="O256" t="s">
        <v>119</v>
      </c>
      <c r="P256" t="s">
        <v>120</v>
      </c>
      <c r="Q256" t="s">
        <v>121</v>
      </c>
      <c r="R256">
        <v>99999</v>
      </c>
      <c r="S256" t="s">
        <v>30</v>
      </c>
      <c r="U256" t="s">
        <v>103</v>
      </c>
      <c r="V256" t="s">
        <v>37</v>
      </c>
      <c r="W256">
        <v>2.99</v>
      </c>
      <c r="X256">
        <v>85</v>
      </c>
      <c r="Y256">
        <v>254.15</v>
      </c>
      <c r="Z256">
        <v>24.652550000000002</v>
      </c>
    </row>
    <row r="257" spans="1:26" x14ac:dyDescent="0.35">
      <c r="A257">
        <v>1295</v>
      </c>
      <c r="B257">
        <v>41940</v>
      </c>
      <c r="C257">
        <v>28</v>
      </c>
      <c r="D257" t="s">
        <v>90</v>
      </c>
      <c r="E257" t="s">
        <v>91</v>
      </c>
      <c r="F257" t="s">
        <v>92</v>
      </c>
      <c r="G257" t="s">
        <v>93</v>
      </c>
      <c r="H257">
        <v>99999</v>
      </c>
      <c r="I257" t="s">
        <v>30</v>
      </c>
      <c r="J257" t="s">
        <v>94</v>
      </c>
      <c r="K257" t="s">
        <v>95</v>
      </c>
      <c r="L257">
        <v>41942</v>
      </c>
      <c r="M257" t="s">
        <v>62</v>
      </c>
      <c r="N257" t="s">
        <v>96</v>
      </c>
      <c r="O257" t="s">
        <v>91</v>
      </c>
      <c r="P257" t="s">
        <v>92</v>
      </c>
      <c r="Q257" t="s">
        <v>93</v>
      </c>
      <c r="R257">
        <v>99999</v>
      </c>
      <c r="S257" t="s">
        <v>30</v>
      </c>
      <c r="T257" t="s">
        <v>48</v>
      </c>
      <c r="U257" t="s">
        <v>80</v>
      </c>
      <c r="V257" t="s">
        <v>81</v>
      </c>
      <c r="W257">
        <v>9.65</v>
      </c>
      <c r="X257">
        <v>44</v>
      </c>
      <c r="Y257">
        <v>424.6</v>
      </c>
      <c r="Z257">
        <v>44.158400000000007</v>
      </c>
    </row>
    <row r="258" spans="1:26" x14ac:dyDescent="0.35">
      <c r="A258">
        <v>1296</v>
      </c>
      <c r="B258">
        <v>41940</v>
      </c>
      <c r="C258">
        <v>28</v>
      </c>
      <c r="D258" t="s">
        <v>90</v>
      </c>
      <c r="E258" t="s">
        <v>91</v>
      </c>
      <c r="F258" t="s">
        <v>92</v>
      </c>
      <c r="G258" t="s">
        <v>93</v>
      </c>
      <c r="H258">
        <v>99999</v>
      </c>
      <c r="I258" t="s">
        <v>30</v>
      </c>
      <c r="J258" t="s">
        <v>94</v>
      </c>
      <c r="K258" t="s">
        <v>95</v>
      </c>
      <c r="L258">
        <v>41942</v>
      </c>
      <c r="M258" t="s">
        <v>62</v>
      </c>
      <c r="N258" t="s">
        <v>96</v>
      </c>
      <c r="O258" t="s">
        <v>91</v>
      </c>
      <c r="P258" t="s">
        <v>92</v>
      </c>
      <c r="Q258" t="s">
        <v>93</v>
      </c>
      <c r="R258">
        <v>99999</v>
      </c>
      <c r="S258" t="s">
        <v>30</v>
      </c>
      <c r="T258" t="s">
        <v>48</v>
      </c>
      <c r="U258" t="s">
        <v>123</v>
      </c>
      <c r="V258" t="s">
        <v>124</v>
      </c>
      <c r="W258">
        <v>18.399999999999999</v>
      </c>
      <c r="X258">
        <v>24</v>
      </c>
      <c r="Y258">
        <v>441.59999999999997</v>
      </c>
      <c r="Z258">
        <v>42.835199999999993</v>
      </c>
    </row>
    <row r="259" spans="1:26" x14ac:dyDescent="0.35">
      <c r="A259">
        <v>1297</v>
      </c>
      <c r="B259">
        <v>41921</v>
      </c>
      <c r="C259">
        <v>9</v>
      </c>
      <c r="D259" t="s">
        <v>125</v>
      </c>
      <c r="E259" t="s">
        <v>126</v>
      </c>
      <c r="F259" t="s">
        <v>127</v>
      </c>
      <c r="G259" t="s">
        <v>128</v>
      </c>
      <c r="H259">
        <v>99999</v>
      </c>
      <c r="I259" t="s">
        <v>30</v>
      </c>
      <c r="J259" t="s">
        <v>129</v>
      </c>
      <c r="K259" t="s">
        <v>32</v>
      </c>
      <c r="L259">
        <v>41923</v>
      </c>
      <c r="M259" t="s">
        <v>46</v>
      </c>
      <c r="N259" t="s">
        <v>130</v>
      </c>
      <c r="O259" t="s">
        <v>126</v>
      </c>
      <c r="P259" t="s">
        <v>127</v>
      </c>
      <c r="Q259" t="s">
        <v>128</v>
      </c>
      <c r="R259">
        <v>99999</v>
      </c>
      <c r="S259" t="s">
        <v>30</v>
      </c>
      <c r="T259" t="s">
        <v>35</v>
      </c>
      <c r="U259" t="s">
        <v>131</v>
      </c>
      <c r="V259" t="s">
        <v>132</v>
      </c>
      <c r="W259">
        <v>19.5</v>
      </c>
      <c r="X259">
        <v>64</v>
      </c>
      <c r="Y259">
        <v>1248</v>
      </c>
      <c r="Z259">
        <v>119.80800000000001</v>
      </c>
    </row>
    <row r="260" spans="1:26" x14ac:dyDescent="0.35">
      <c r="A260">
        <v>1298</v>
      </c>
      <c r="B260">
        <v>41921</v>
      </c>
      <c r="C260">
        <v>9</v>
      </c>
      <c r="D260" t="s">
        <v>125</v>
      </c>
      <c r="E260" t="s">
        <v>126</v>
      </c>
      <c r="F260" t="s">
        <v>127</v>
      </c>
      <c r="G260" t="s">
        <v>128</v>
      </c>
      <c r="H260">
        <v>99999</v>
      </c>
      <c r="I260" t="s">
        <v>30</v>
      </c>
      <c r="J260" t="s">
        <v>129</v>
      </c>
      <c r="K260" t="s">
        <v>32</v>
      </c>
      <c r="L260">
        <v>41923</v>
      </c>
      <c r="M260" t="s">
        <v>46</v>
      </c>
      <c r="N260" t="s">
        <v>130</v>
      </c>
      <c r="O260" t="s">
        <v>126</v>
      </c>
      <c r="P260" t="s">
        <v>127</v>
      </c>
      <c r="Q260" t="s">
        <v>128</v>
      </c>
      <c r="R260">
        <v>99999</v>
      </c>
      <c r="S260" t="s">
        <v>30</v>
      </c>
      <c r="T260" t="s">
        <v>35</v>
      </c>
      <c r="U260" t="s">
        <v>133</v>
      </c>
      <c r="V260" t="s">
        <v>134</v>
      </c>
      <c r="W260">
        <v>34.799999999999997</v>
      </c>
      <c r="X260">
        <v>70</v>
      </c>
      <c r="Y260">
        <v>2436</v>
      </c>
      <c r="Z260">
        <v>246.03600000000003</v>
      </c>
    </row>
    <row r="261" spans="1:26" x14ac:dyDescent="0.35">
      <c r="A261">
        <v>1299</v>
      </c>
      <c r="B261">
        <v>41918</v>
      </c>
      <c r="C261">
        <v>6</v>
      </c>
      <c r="D261" t="s">
        <v>82</v>
      </c>
      <c r="E261" t="s">
        <v>83</v>
      </c>
      <c r="F261" t="s">
        <v>84</v>
      </c>
      <c r="G261" t="s">
        <v>85</v>
      </c>
      <c r="H261">
        <v>99999</v>
      </c>
      <c r="I261" t="s">
        <v>30</v>
      </c>
      <c r="J261" t="s">
        <v>86</v>
      </c>
      <c r="K261" t="s">
        <v>61</v>
      </c>
      <c r="L261">
        <v>41920</v>
      </c>
      <c r="M261" t="s">
        <v>33</v>
      </c>
      <c r="N261" t="s">
        <v>87</v>
      </c>
      <c r="O261" t="s">
        <v>83</v>
      </c>
      <c r="P261" t="s">
        <v>84</v>
      </c>
      <c r="Q261" t="s">
        <v>85</v>
      </c>
      <c r="R261">
        <v>99999</v>
      </c>
      <c r="S261" t="s">
        <v>30</v>
      </c>
      <c r="T261" t="s">
        <v>48</v>
      </c>
      <c r="U261" t="s">
        <v>36</v>
      </c>
      <c r="V261" t="s">
        <v>37</v>
      </c>
      <c r="W261">
        <v>14</v>
      </c>
      <c r="X261">
        <v>98</v>
      </c>
      <c r="Y261">
        <v>1372</v>
      </c>
      <c r="Z261">
        <v>138.57200000000003</v>
      </c>
    </row>
    <row r="262" spans="1:26" x14ac:dyDescent="0.35">
      <c r="A262">
        <v>1300</v>
      </c>
      <c r="B262">
        <v>41920</v>
      </c>
      <c r="C262">
        <v>8</v>
      </c>
      <c r="D262" t="s">
        <v>56</v>
      </c>
      <c r="E262" t="s">
        <v>57</v>
      </c>
      <c r="F262" t="s">
        <v>58</v>
      </c>
      <c r="G262" t="s">
        <v>59</v>
      </c>
      <c r="H262">
        <v>99999</v>
      </c>
      <c r="I262" t="s">
        <v>30</v>
      </c>
      <c r="J262" t="s">
        <v>60</v>
      </c>
      <c r="K262" t="s">
        <v>61</v>
      </c>
      <c r="L262">
        <v>41922</v>
      </c>
      <c r="M262" t="s">
        <v>33</v>
      </c>
      <c r="N262" t="s">
        <v>63</v>
      </c>
      <c r="O262" t="s">
        <v>57</v>
      </c>
      <c r="P262" t="s">
        <v>58</v>
      </c>
      <c r="Q262" t="s">
        <v>59</v>
      </c>
      <c r="R262">
        <v>99999</v>
      </c>
      <c r="S262" t="s">
        <v>30</v>
      </c>
      <c r="T262" t="s">
        <v>35</v>
      </c>
      <c r="U262" t="s">
        <v>88</v>
      </c>
      <c r="V262" t="s">
        <v>89</v>
      </c>
      <c r="W262">
        <v>40</v>
      </c>
      <c r="X262">
        <v>48</v>
      </c>
      <c r="Y262">
        <v>1920</v>
      </c>
      <c r="Z262">
        <v>188.16</v>
      </c>
    </row>
    <row r="263" spans="1:26" x14ac:dyDescent="0.35">
      <c r="A263">
        <v>1301</v>
      </c>
      <c r="B263">
        <v>41920</v>
      </c>
      <c r="C263">
        <v>8</v>
      </c>
      <c r="D263" t="s">
        <v>56</v>
      </c>
      <c r="E263" t="s">
        <v>57</v>
      </c>
      <c r="F263" t="s">
        <v>58</v>
      </c>
      <c r="G263" t="s">
        <v>59</v>
      </c>
      <c r="H263">
        <v>99999</v>
      </c>
      <c r="I263" t="s">
        <v>30</v>
      </c>
      <c r="J263" t="s">
        <v>60</v>
      </c>
      <c r="K263" t="s">
        <v>61</v>
      </c>
      <c r="L263">
        <v>41922</v>
      </c>
      <c r="M263" t="s">
        <v>33</v>
      </c>
      <c r="N263" t="s">
        <v>63</v>
      </c>
      <c r="O263" t="s">
        <v>57</v>
      </c>
      <c r="P263" t="s">
        <v>58</v>
      </c>
      <c r="Q263" t="s">
        <v>59</v>
      </c>
      <c r="R263">
        <v>99999</v>
      </c>
      <c r="S263" t="s">
        <v>30</v>
      </c>
      <c r="T263" t="s">
        <v>35</v>
      </c>
      <c r="U263" t="s">
        <v>64</v>
      </c>
      <c r="V263" t="s">
        <v>65</v>
      </c>
      <c r="W263">
        <v>9.1999999999999993</v>
      </c>
      <c r="X263">
        <v>100</v>
      </c>
      <c r="Y263">
        <v>919.99999999999989</v>
      </c>
      <c r="Z263">
        <v>91.08</v>
      </c>
    </row>
    <row r="264" spans="1:26" x14ac:dyDescent="0.35">
      <c r="A264">
        <v>1302</v>
      </c>
      <c r="B264">
        <v>41937</v>
      </c>
      <c r="C264">
        <v>25</v>
      </c>
      <c r="D264" t="s">
        <v>137</v>
      </c>
      <c r="E264" t="s">
        <v>138</v>
      </c>
      <c r="F264" t="s">
        <v>99</v>
      </c>
      <c r="G264" t="s">
        <v>100</v>
      </c>
      <c r="H264">
        <v>99999</v>
      </c>
      <c r="I264" t="s">
        <v>30</v>
      </c>
      <c r="J264" t="s">
        <v>101</v>
      </c>
      <c r="K264" t="s">
        <v>45</v>
      </c>
      <c r="L264">
        <v>41939</v>
      </c>
      <c r="M264" t="s">
        <v>46</v>
      </c>
      <c r="N264" t="s">
        <v>139</v>
      </c>
      <c r="O264" t="s">
        <v>138</v>
      </c>
      <c r="P264" t="s">
        <v>99</v>
      </c>
      <c r="Q264" t="s">
        <v>100</v>
      </c>
      <c r="R264">
        <v>99999</v>
      </c>
      <c r="S264" t="s">
        <v>30</v>
      </c>
      <c r="T264" t="s">
        <v>79</v>
      </c>
      <c r="U264" t="s">
        <v>146</v>
      </c>
      <c r="V264" t="s">
        <v>65</v>
      </c>
      <c r="W264">
        <v>10</v>
      </c>
      <c r="X264">
        <v>90</v>
      </c>
      <c r="Y264">
        <v>900</v>
      </c>
      <c r="Z264">
        <v>87.3</v>
      </c>
    </row>
    <row r="265" spans="1:26" x14ac:dyDescent="0.35">
      <c r="A265">
        <v>1303</v>
      </c>
      <c r="B265">
        <v>41938</v>
      </c>
      <c r="C265">
        <v>26</v>
      </c>
      <c r="D265" t="s">
        <v>140</v>
      </c>
      <c r="E265" t="s">
        <v>141</v>
      </c>
      <c r="F265" t="s">
        <v>115</v>
      </c>
      <c r="G265" t="s">
        <v>116</v>
      </c>
      <c r="H265">
        <v>99999</v>
      </c>
      <c r="I265" t="s">
        <v>30</v>
      </c>
      <c r="J265" t="s">
        <v>94</v>
      </c>
      <c r="K265" t="s">
        <v>95</v>
      </c>
      <c r="L265">
        <v>41940</v>
      </c>
      <c r="M265" t="s">
        <v>62</v>
      </c>
      <c r="N265" t="s">
        <v>142</v>
      </c>
      <c r="O265" t="s">
        <v>141</v>
      </c>
      <c r="P265" t="s">
        <v>115</v>
      </c>
      <c r="Q265" t="s">
        <v>116</v>
      </c>
      <c r="R265">
        <v>99999</v>
      </c>
      <c r="S265" t="s">
        <v>30</v>
      </c>
      <c r="T265" t="s">
        <v>48</v>
      </c>
      <c r="U265" t="s">
        <v>147</v>
      </c>
      <c r="V265" t="s">
        <v>148</v>
      </c>
      <c r="W265">
        <v>21.35</v>
      </c>
      <c r="X265">
        <v>49</v>
      </c>
      <c r="Y265">
        <v>1046.1500000000001</v>
      </c>
      <c r="Z265">
        <v>102.5227</v>
      </c>
    </row>
    <row r="266" spans="1:26" x14ac:dyDescent="0.35">
      <c r="A266">
        <v>1304</v>
      </c>
      <c r="B266">
        <v>41938</v>
      </c>
      <c r="C266">
        <v>26</v>
      </c>
      <c r="D266" t="s">
        <v>140</v>
      </c>
      <c r="E266" t="s">
        <v>141</v>
      </c>
      <c r="F266" t="s">
        <v>115</v>
      </c>
      <c r="G266" t="s">
        <v>116</v>
      </c>
      <c r="H266">
        <v>99999</v>
      </c>
      <c r="I266" t="s">
        <v>30</v>
      </c>
      <c r="J266" t="s">
        <v>94</v>
      </c>
      <c r="K266" t="s">
        <v>95</v>
      </c>
      <c r="L266">
        <v>41940</v>
      </c>
      <c r="M266" t="s">
        <v>62</v>
      </c>
      <c r="N266" t="s">
        <v>142</v>
      </c>
      <c r="O266" t="s">
        <v>141</v>
      </c>
      <c r="P266" t="s">
        <v>115</v>
      </c>
      <c r="Q266" t="s">
        <v>116</v>
      </c>
      <c r="R266">
        <v>99999</v>
      </c>
      <c r="S266" t="s">
        <v>30</v>
      </c>
      <c r="T266" t="s">
        <v>48</v>
      </c>
      <c r="U266" t="s">
        <v>80</v>
      </c>
      <c r="V266" t="s">
        <v>81</v>
      </c>
      <c r="W266">
        <v>9.65</v>
      </c>
      <c r="X266">
        <v>71</v>
      </c>
      <c r="Y266">
        <v>685.15</v>
      </c>
      <c r="Z266">
        <v>65.7744</v>
      </c>
    </row>
    <row r="267" spans="1:26" x14ac:dyDescent="0.35">
      <c r="A267">
        <v>1305</v>
      </c>
      <c r="B267">
        <v>41938</v>
      </c>
      <c r="C267">
        <v>26</v>
      </c>
      <c r="D267" t="s">
        <v>140</v>
      </c>
      <c r="E267" t="s">
        <v>141</v>
      </c>
      <c r="F267" t="s">
        <v>115</v>
      </c>
      <c r="G267" t="s">
        <v>116</v>
      </c>
      <c r="H267">
        <v>99999</v>
      </c>
      <c r="I267" t="s">
        <v>30</v>
      </c>
      <c r="J267" t="s">
        <v>94</v>
      </c>
      <c r="K267" t="s">
        <v>95</v>
      </c>
      <c r="L267">
        <v>41940</v>
      </c>
      <c r="M267" t="s">
        <v>62</v>
      </c>
      <c r="N267" t="s">
        <v>142</v>
      </c>
      <c r="O267" t="s">
        <v>141</v>
      </c>
      <c r="P267" t="s">
        <v>115</v>
      </c>
      <c r="Q267" t="s">
        <v>116</v>
      </c>
      <c r="R267">
        <v>99999</v>
      </c>
      <c r="S267" t="s">
        <v>30</v>
      </c>
      <c r="T267" t="s">
        <v>48</v>
      </c>
      <c r="U267" t="s">
        <v>123</v>
      </c>
      <c r="V267" t="s">
        <v>124</v>
      </c>
      <c r="W267">
        <v>18.399999999999999</v>
      </c>
      <c r="X267">
        <v>10</v>
      </c>
      <c r="Y267">
        <v>184</v>
      </c>
      <c r="Z267">
        <v>19.136000000000003</v>
      </c>
    </row>
    <row r="268" spans="1:26" x14ac:dyDescent="0.35">
      <c r="A268">
        <v>1306</v>
      </c>
      <c r="B268">
        <v>41941</v>
      </c>
      <c r="C268">
        <v>29</v>
      </c>
      <c r="D268" t="s">
        <v>66</v>
      </c>
      <c r="E268" t="s">
        <v>67</v>
      </c>
      <c r="F268" t="s">
        <v>68</v>
      </c>
      <c r="G268" t="s">
        <v>69</v>
      </c>
      <c r="H268">
        <v>99999</v>
      </c>
      <c r="I268" t="s">
        <v>30</v>
      </c>
      <c r="J268" t="s">
        <v>70</v>
      </c>
      <c r="K268" t="s">
        <v>32</v>
      </c>
      <c r="L268">
        <v>41943</v>
      </c>
      <c r="M268" t="s">
        <v>33</v>
      </c>
      <c r="N268" t="s">
        <v>71</v>
      </c>
      <c r="O268" t="s">
        <v>67</v>
      </c>
      <c r="P268" t="s">
        <v>68</v>
      </c>
      <c r="Q268" t="s">
        <v>69</v>
      </c>
      <c r="R268">
        <v>99999</v>
      </c>
      <c r="S268" t="s">
        <v>30</v>
      </c>
      <c r="T268" t="s">
        <v>35</v>
      </c>
      <c r="U268" t="s">
        <v>36</v>
      </c>
      <c r="V268" t="s">
        <v>37</v>
      </c>
      <c r="W268">
        <v>14</v>
      </c>
      <c r="X268">
        <v>78</v>
      </c>
      <c r="Y268">
        <v>1092</v>
      </c>
      <c r="Z268">
        <v>112.476</v>
      </c>
    </row>
    <row r="269" spans="1:26" x14ac:dyDescent="0.35">
      <c r="A269">
        <v>1307</v>
      </c>
      <c r="B269">
        <v>41918</v>
      </c>
      <c r="C269">
        <v>6</v>
      </c>
      <c r="D269" t="s">
        <v>82</v>
      </c>
      <c r="E269" t="s">
        <v>83</v>
      </c>
      <c r="F269" t="s">
        <v>84</v>
      </c>
      <c r="G269" t="s">
        <v>85</v>
      </c>
      <c r="H269">
        <v>99999</v>
      </c>
      <c r="I269" t="s">
        <v>30</v>
      </c>
      <c r="J269" t="s">
        <v>86</v>
      </c>
      <c r="K269" t="s">
        <v>61</v>
      </c>
      <c r="L269">
        <v>41920</v>
      </c>
      <c r="M269" t="s">
        <v>62</v>
      </c>
      <c r="N269" t="s">
        <v>87</v>
      </c>
      <c r="O269" t="s">
        <v>83</v>
      </c>
      <c r="P269" t="s">
        <v>84</v>
      </c>
      <c r="Q269" t="s">
        <v>85</v>
      </c>
      <c r="R269">
        <v>99999</v>
      </c>
      <c r="S269" t="s">
        <v>30</v>
      </c>
      <c r="T269" t="s">
        <v>35</v>
      </c>
      <c r="U269" t="s">
        <v>72</v>
      </c>
      <c r="V269" t="s">
        <v>73</v>
      </c>
      <c r="W269">
        <v>12.75</v>
      </c>
      <c r="X269">
        <v>44</v>
      </c>
      <c r="Y269">
        <v>561</v>
      </c>
      <c r="Z269">
        <v>53.856000000000002</v>
      </c>
    </row>
    <row r="270" spans="1:26" x14ac:dyDescent="0.35">
      <c r="A270">
        <v>1309</v>
      </c>
      <c r="B270">
        <v>41916</v>
      </c>
      <c r="C270">
        <v>4</v>
      </c>
      <c r="D270" t="s">
        <v>40</v>
      </c>
      <c r="E270" t="s">
        <v>41</v>
      </c>
      <c r="F270" t="s">
        <v>42</v>
      </c>
      <c r="G270" t="s">
        <v>43</v>
      </c>
      <c r="H270">
        <v>99999</v>
      </c>
      <c r="I270" t="s">
        <v>30</v>
      </c>
      <c r="J270" t="s">
        <v>44</v>
      </c>
      <c r="K270" t="s">
        <v>45</v>
      </c>
      <c r="L270">
        <v>41918</v>
      </c>
      <c r="M270" t="s">
        <v>46</v>
      </c>
      <c r="N270" t="s">
        <v>47</v>
      </c>
      <c r="O270" t="s">
        <v>41</v>
      </c>
      <c r="P270" t="s">
        <v>42</v>
      </c>
      <c r="Q270" t="s">
        <v>43</v>
      </c>
      <c r="R270">
        <v>99999</v>
      </c>
      <c r="S270" t="s">
        <v>30</v>
      </c>
      <c r="T270" t="s">
        <v>48</v>
      </c>
      <c r="U270" t="s">
        <v>149</v>
      </c>
      <c r="V270" t="s">
        <v>110</v>
      </c>
      <c r="W270">
        <v>81</v>
      </c>
      <c r="X270">
        <v>82</v>
      </c>
      <c r="Y270">
        <v>6642</v>
      </c>
      <c r="Z270">
        <v>697.41000000000008</v>
      </c>
    </row>
    <row r="271" spans="1:26" x14ac:dyDescent="0.35">
      <c r="A271">
        <v>1310</v>
      </c>
      <c r="B271">
        <v>41916</v>
      </c>
      <c r="C271">
        <v>4</v>
      </c>
      <c r="D271" t="s">
        <v>40</v>
      </c>
      <c r="E271" t="s">
        <v>41</v>
      </c>
      <c r="F271" t="s">
        <v>42</v>
      </c>
      <c r="G271" t="s">
        <v>43</v>
      </c>
      <c r="H271">
        <v>99999</v>
      </c>
      <c r="I271" t="s">
        <v>30</v>
      </c>
      <c r="J271" t="s">
        <v>44</v>
      </c>
      <c r="K271" t="s">
        <v>45</v>
      </c>
      <c r="L271">
        <v>41918</v>
      </c>
      <c r="M271" t="s">
        <v>46</v>
      </c>
      <c r="N271" t="s">
        <v>47</v>
      </c>
      <c r="O271" t="s">
        <v>41</v>
      </c>
      <c r="P271" t="s">
        <v>42</v>
      </c>
      <c r="Q271" t="s">
        <v>43</v>
      </c>
      <c r="R271">
        <v>99999</v>
      </c>
      <c r="S271" t="s">
        <v>30</v>
      </c>
      <c r="T271" t="s">
        <v>48</v>
      </c>
      <c r="U271" t="s">
        <v>150</v>
      </c>
      <c r="V271" t="s">
        <v>151</v>
      </c>
      <c r="W271">
        <v>7</v>
      </c>
      <c r="X271">
        <v>29</v>
      </c>
      <c r="Y271">
        <v>203</v>
      </c>
      <c r="Z271">
        <v>20.3</v>
      </c>
    </row>
    <row r="272" spans="1:26" x14ac:dyDescent="0.35">
      <c r="A272">
        <v>1312</v>
      </c>
      <c r="B272">
        <v>41920</v>
      </c>
      <c r="C272">
        <v>8</v>
      </c>
      <c r="D272" t="s">
        <v>56</v>
      </c>
      <c r="E272" t="s">
        <v>57</v>
      </c>
      <c r="F272" t="s">
        <v>58</v>
      </c>
      <c r="G272" t="s">
        <v>59</v>
      </c>
      <c r="H272">
        <v>99999</v>
      </c>
      <c r="I272" t="s">
        <v>30</v>
      </c>
      <c r="J272" t="s">
        <v>60</v>
      </c>
      <c r="K272" t="s">
        <v>61</v>
      </c>
      <c r="L272">
        <v>41922</v>
      </c>
      <c r="M272" t="s">
        <v>62</v>
      </c>
      <c r="N272" t="s">
        <v>63</v>
      </c>
      <c r="O272" t="s">
        <v>57</v>
      </c>
      <c r="P272" t="s">
        <v>58</v>
      </c>
      <c r="Q272" t="s">
        <v>59</v>
      </c>
      <c r="R272">
        <v>99999</v>
      </c>
      <c r="S272" t="s">
        <v>30</v>
      </c>
      <c r="T272" t="s">
        <v>48</v>
      </c>
      <c r="U272" t="s">
        <v>133</v>
      </c>
      <c r="V272" t="s">
        <v>134</v>
      </c>
      <c r="W272">
        <v>34.799999999999997</v>
      </c>
      <c r="X272">
        <v>93</v>
      </c>
      <c r="Y272">
        <v>3236.3999999999996</v>
      </c>
      <c r="Z272">
        <v>313.93079999999998</v>
      </c>
    </row>
    <row r="273" spans="1:26" x14ac:dyDescent="0.35">
      <c r="A273">
        <v>1315</v>
      </c>
      <c r="B273">
        <v>41915</v>
      </c>
      <c r="C273">
        <v>3</v>
      </c>
      <c r="D273" t="s">
        <v>74</v>
      </c>
      <c r="E273" t="s">
        <v>75</v>
      </c>
      <c r="F273" t="s">
        <v>76</v>
      </c>
      <c r="G273" t="s">
        <v>77</v>
      </c>
      <c r="H273">
        <v>99999</v>
      </c>
      <c r="I273" t="s">
        <v>30</v>
      </c>
      <c r="J273" t="s">
        <v>31</v>
      </c>
      <c r="K273" t="s">
        <v>32</v>
      </c>
      <c r="L273">
        <v>41917</v>
      </c>
      <c r="M273" t="s">
        <v>33</v>
      </c>
      <c r="N273" t="s">
        <v>78</v>
      </c>
      <c r="O273" t="s">
        <v>75</v>
      </c>
      <c r="P273" t="s">
        <v>76</v>
      </c>
      <c r="Q273" t="s">
        <v>77</v>
      </c>
      <c r="R273">
        <v>99999</v>
      </c>
      <c r="S273" t="s">
        <v>30</v>
      </c>
      <c r="T273" t="s">
        <v>79</v>
      </c>
      <c r="U273" t="s">
        <v>135</v>
      </c>
      <c r="V273" t="s">
        <v>112</v>
      </c>
      <c r="W273">
        <v>10</v>
      </c>
      <c r="X273">
        <v>11</v>
      </c>
      <c r="Y273">
        <v>110</v>
      </c>
      <c r="Z273">
        <v>11.440000000000001</v>
      </c>
    </row>
    <row r="274" spans="1:26" x14ac:dyDescent="0.35">
      <c r="A274">
        <v>1316</v>
      </c>
      <c r="B274">
        <v>41915</v>
      </c>
      <c r="C274">
        <v>3</v>
      </c>
      <c r="D274" t="s">
        <v>74</v>
      </c>
      <c r="E274" t="s">
        <v>75</v>
      </c>
      <c r="F274" t="s">
        <v>76</v>
      </c>
      <c r="G274" t="s">
        <v>77</v>
      </c>
      <c r="H274">
        <v>99999</v>
      </c>
      <c r="I274" t="s">
        <v>30</v>
      </c>
      <c r="J274" t="s">
        <v>31</v>
      </c>
      <c r="K274" t="s">
        <v>32</v>
      </c>
      <c r="L274">
        <v>41917</v>
      </c>
      <c r="M274" t="s">
        <v>33</v>
      </c>
      <c r="N274" t="s">
        <v>78</v>
      </c>
      <c r="O274" t="s">
        <v>75</v>
      </c>
      <c r="P274" t="s">
        <v>76</v>
      </c>
      <c r="Q274" t="s">
        <v>77</v>
      </c>
      <c r="R274">
        <v>99999</v>
      </c>
      <c r="S274" t="s">
        <v>30</v>
      </c>
      <c r="T274" t="s">
        <v>79</v>
      </c>
      <c r="U274" t="s">
        <v>88</v>
      </c>
      <c r="V274" t="s">
        <v>89</v>
      </c>
      <c r="W274">
        <v>40</v>
      </c>
      <c r="X274">
        <v>91</v>
      </c>
      <c r="Y274">
        <v>3640</v>
      </c>
      <c r="Z274">
        <v>364</v>
      </c>
    </row>
    <row r="275" spans="1:26" x14ac:dyDescent="0.35">
      <c r="A275">
        <v>1320</v>
      </c>
      <c r="B275">
        <v>41922</v>
      </c>
      <c r="C275">
        <v>10</v>
      </c>
      <c r="D275" t="s">
        <v>97</v>
      </c>
      <c r="E275" t="s">
        <v>98</v>
      </c>
      <c r="F275" t="s">
        <v>99</v>
      </c>
      <c r="G275" t="s">
        <v>100</v>
      </c>
      <c r="H275">
        <v>99999</v>
      </c>
      <c r="I275" t="s">
        <v>30</v>
      </c>
      <c r="J275" t="s">
        <v>101</v>
      </c>
      <c r="K275" t="s">
        <v>45</v>
      </c>
      <c r="L275">
        <v>41924</v>
      </c>
      <c r="M275" t="s">
        <v>33</v>
      </c>
      <c r="N275" t="s">
        <v>102</v>
      </c>
      <c r="O275" t="s">
        <v>98</v>
      </c>
      <c r="P275" t="s">
        <v>99</v>
      </c>
      <c r="Q275" t="s">
        <v>100</v>
      </c>
      <c r="R275">
        <v>99999</v>
      </c>
      <c r="S275" t="s">
        <v>30</v>
      </c>
      <c r="T275" t="s">
        <v>48</v>
      </c>
      <c r="U275" t="s">
        <v>136</v>
      </c>
      <c r="V275" t="s">
        <v>39</v>
      </c>
      <c r="W275">
        <v>10</v>
      </c>
      <c r="X275">
        <v>12</v>
      </c>
      <c r="Y275">
        <v>120</v>
      </c>
      <c r="Z275">
        <v>12.36</v>
      </c>
    </row>
    <row r="276" spans="1:26" x14ac:dyDescent="0.35">
      <c r="A276">
        <v>1322</v>
      </c>
      <c r="B276">
        <v>41922</v>
      </c>
      <c r="C276">
        <v>10</v>
      </c>
      <c r="D276" t="s">
        <v>97</v>
      </c>
      <c r="E276" t="s">
        <v>98</v>
      </c>
      <c r="F276" t="s">
        <v>99</v>
      </c>
      <c r="G276" t="s">
        <v>100</v>
      </c>
      <c r="H276">
        <v>99999</v>
      </c>
      <c r="I276" t="s">
        <v>30</v>
      </c>
      <c r="J276" t="s">
        <v>101</v>
      </c>
      <c r="K276" t="s">
        <v>45</v>
      </c>
      <c r="M276" t="s">
        <v>46</v>
      </c>
      <c r="N276" t="s">
        <v>102</v>
      </c>
      <c r="O276" t="s">
        <v>98</v>
      </c>
      <c r="P276" t="s">
        <v>99</v>
      </c>
      <c r="Q276" t="s">
        <v>100</v>
      </c>
      <c r="R276">
        <v>99999</v>
      </c>
      <c r="S276" t="s">
        <v>30</v>
      </c>
      <c r="U276" t="s">
        <v>38</v>
      </c>
      <c r="V276" t="s">
        <v>39</v>
      </c>
      <c r="W276">
        <v>3.5</v>
      </c>
      <c r="X276">
        <v>78</v>
      </c>
      <c r="Y276">
        <v>273</v>
      </c>
      <c r="Z276">
        <v>27.3</v>
      </c>
    </row>
    <row r="277" spans="1:26" x14ac:dyDescent="0.35">
      <c r="A277">
        <v>1323</v>
      </c>
      <c r="B277">
        <v>41923</v>
      </c>
      <c r="C277">
        <v>11</v>
      </c>
      <c r="D277" t="s">
        <v>113</v>
      </c>
      <c r="E277" t="s">
        <v>114</v>
      </c>
      <c r="F277" t="s">
        <v>115</v>
      </c>
      <c r="G277" t="s">
        <v>116</v>
      </c>
      <c r="H277">
        <v>99999</v>
      </c>
      <c r="I277" t="s">
        <v>30</v>
      </c>
      <c r="J277" t="s">
        <v>94</v>
      </c>
      <c r="K277" t="s">
        <v>95</v>
      </c>
      <c r="M277" t="s">
        <v>62</v>
      </c>
      <c r="N277" t="s">
        <v>117</v>
      </c>
      <c r="O277" t="s">
        <v>114</v>
      </c>
      <c r="P277" t="s">
        <v>115</v>
      </c>
      <c r="Q277" t="s">
        <v>116</v>
      </c>
      <c r="R277">
        <v>99999</v>
      </c>
      <c r="S277" t="s">
        <v>30</v>
      </c>
      <c r="U277" t="s">
        <v>88</v>
      </c>
      <c r="V277" t="s">
        <v>89</v>
      </c>
      <c r="W277">
        <v>40</v>
      </c>
      <c r="X277">
        <v>60</v>
      </c>
      <c r="Y277">
        <v>2400</v>
      </c>
      <c r="Z277">
        <v>228</v>
      </c>
    </row>
    <row r="278" spans="1:26" x14ac:dyDescent="0.35">
      <c r="A278">
        <v>1324</v>
      </c>
      <c r="B278">
        <v>41913</v>
      </c>
      <c r="C278">
        <v>1</v>
      </c>
      <c r="D278" t="s">
        <v>118</v>
      </c>
      <c r="E278" t="s">
        <v>119</v>
      </c>
      <c r="F278" t="s">
        <v>120</v>
      </c>
      <c r="G278" t="s">
        <v>121</v>
      </c>
      <c r="H278">
        <v>99999</v>
      </c>
      <c r="I278" t="s">
        <v>30</v>
      </c>
      <c r="J278" t="s">
        <v>60</v>
      </c>
      <c r="K278" t="s">
        <v>61</v>
      </c>
      <c r="M278" t="s">
        <v>62</v>
      </c>
      <c r="N278" t="s">
        <v>122</v>
      </c>
      <c r="O278" t="s">
        <v>119</v>
      </c>
      <c r="P278" t="s">
        <v>120</v>
      </c>
      <c r="Q278" t="s">
        <v>121</v>
      </c>
      <c r="R278">
        <v>99999</v>
      </c>
      <c r="S278" t="s">
        <v>30</v>
      </c>
      <c r="U278" t="s">
        <v>123</v>
      </c>
      <c r="V278" t="s">
        <v>124</v>
      </c>
      <c r="W278">
        <v>18.399999999999999</v>
      </c>
      <c r="X278">
        <v>23</v>
      </c>
      <c r="Y278">
        <v>423.2</v>
      </c>
      <c r="Z278">
        <v>43.589600000000004</v>
      </c>
    </row>
    <row r="279" spans="1:26" x14ac:dyDescent="0.35">
      <c r="A279">
        <v>1325</v>
      </c>
      <c r="B279">
        <v>41940</v>
      </c>
      <c r="C279">
        <v>28</v>
      </c>
      <c r="D279" t="s">
        <v>90</v>
      </c>
      <c r="E279" t="s">
        <v>91</v>
      </c>
      <c r="F279" t="s">
        <v>92</v>
      </c>
      <c r="G279" t="s">
        <v>93</v>
      </c>
      <c r="H279">
        <v>99999</v>
      </c>
      <c r="I279" t="s">
        <v>30</v>
      </c>
      <c r="J279" t="s">
        <v>94</v>
      </c>
      <c r="K279" t="s">
        <v>95</v>
      </c>
      <c r="L279">
        <v>41942</v>
      </c>
      <c r="M279" t="s">
        <v>62</v>
      </c>
      <c r="N279" t="s">
        <v>96</v>
      </c>
      <c r="O279" t="s">
        <v>91</v>
      </c>
      <c r="P279" t="s">
        <v>92</v>
      </c>
      <c r="Q279" t="s">
        <v>93</v>
      </c>
      <c r="R279">
        <v>99999</v>
      </c>
      <c r="S279" t="s">
        <v>30</v>
      </c>
      <c r="T279" t="s">
        <v>48</v>
      </c>
      <c r="U279" t="s">
        <v>55</v>
      </c>
      <c r="V279" t="s">
        <v>37</v>
      </c>
      <c r="W279">
        <v>46</v>
      </c>
      <c r="X279">
        <v>34</v>
      </c>
      <c r="Y279">
        <v>1564</v>
      </c>
      <c r="Z279">
        <v>157.964</v>
      </c>
    </row>
    <row r="280" spans="1:26" x14ac:dyDescent="0.35">
      <c r="A280">
        <v>1326</v>
      </c>
      <c r="B280">
        <v>41921</v>
      </c>
      <c r="C280">
        <v>9</v>
      </c>
      <c r="D280" t="s">
        <v>125</v>
      </c>
      <c r="E280" t="s">
        <v>126</v>
      </c>
      <c r="F280" t="s">
        <v>127</v>
      </c>
      <c r="G280" t="s">
        <v>128</v>
      </c>
      <c r="H280">
        <v>99999</v>
      </c>
      <c r="I280" t="s">
        <v>30</v>
      </c>
      <c r="J280" t="s">
        <v>129</v>
      </c>
      <c r="K280" t="s">
        <v>32</v>
      </c>
      <c r="L280">
        <v>41923</v>
      </c>
      <c r="M280" t="s">
        <v>46</v>
      </c>
      <c r="N280" t="s">
        <v>130</v>
      </c>
      <c r="O280" t="s">
        <v>126</v>
      </c>
      <c r="P280" t="s">
        <v>127</v>
      </c>
      <c r="Q280" t="s">
        <v>128</v>
      </c>
      <c r="R280">
        <v>99999</v>
      </c>
      <c r="S280" t="s">
        <v>30</v>
      </c>
      <c r="T280" t="s">
        <v>35</v>
      </c>
      <c r="U280" t="s">
        <v>80</v>
      </c>
      <c r="V280" t="s">
        <v>81</v>
      </c>
      <c r="W280">
        <v>9.65</v>
      </c>
      <c r="X280">
        <v>89</v>
      </c>
      <c r="Y280">
        <v>858.85</v>
      </c>
      <c r="Z280">
        <v>86.743850000000009</v>
      </c>
    </row>
    <row r="281" spans="1:26" x14ac:dyDescent="0.35">
      <c r="A281">
        <v>1327</v>
      </c>
      <c r="B281">
        <v>41918</v>
      </c>
      <c r="C281">
        <v>6</v>
      </c>
      <c r="D281" t="s">
        <v>82</v>
      </c>
      <c r="E281" t="s">
        <v>83</v>
      </c>
      <c r="F281" t="s">
        <v>84</v>
      </c>
      <c r="G281" t="s">
        <v>85</v>
      </c>
      <c r="H281">
        <v>99999</v>
      </c>
      <c r="I281" t="s">
        <v>30</v>
      </c>
      <c r="J281" t="s">
        <v>86</v>
      </c>
      <c r="K281" t="s">
        <v>61</v>
      </c>
      <c r="L281">
        <v>41920</v>
      </c>
      <c r="M281" t="s">
        <v>33</v>
      </c>
      <c r="N281" t="s">
        <v>87</v>
      </c>
      <c r="O281" t="s">
        <v>83</v>
      </c>
      <c r="P281" t="s">
        <v>84</v>
      </c>
      <c r="Q281" t="s">
        <v>85</v>
      </c>
      <c r="R281">
        <v>99999</v>
      </c>
      <c r="S281" t="s">
        <v>30</v>
      </c>
      <c r="T281" t="s">
        <v>48</v>
      </c>
      <c r="U281" t="s">
        <v>72</v>
      </c>
      <c r="V281" t="s">
        <v>73</v>
      </c>
      <c r="W281">
        <v>12.75</v>
      </c>
      <c r="X281">
        <v>82</v>
      </c>
      <c r="Y281">
        <v>1045.5</v>
      </c>
      <c r="Z281">
        <v>103.50450000000001</v>
      </c>
    </row>
    <row r="282" spans="1:26" x14ac:dyDescent="0.35">
      <c r="A282">
        <v>1328</v>
      </c>
      <c r="B282">
        <v>41920</v>
      </c>
      <c r="C282">
        <v>8</v>
      </c>
      <c r="D282" t="s">
        <v>56</v>
      </c>
      <c r="E282" t="s">
        <v>57</v>
      </c>
      <c r="F282" t="s">
        <v>58</v>
      </c>
      <c r="G282" t="s">
        <v>59</v>
      </c>
      <c r="H282">
        <v>99999</v>
      </c>
      <c r="I282" t="s">
        <v>30</v>
      </c>
      <c r="J282" t="s">
        <v>60</v>
      </c>
      <c r="K282" t="s">
        <v>61</v>
      </c>
      <c r="L282">
        <v>41922</v>
      </c>
      <c r="M282" t="s">
        <v>33</v>
      </c>
      <c r="N282" t="s">
        <v>63</v>
      </c>
      <c r="O282" t="s">
        <v>57</v>
      </c>
      <c r="P282" t="s">
        <v>58</v>
      </c>
      <c r="Q282" t="s">
        <v>59</v>
      </c>
      <c r="R282">
        <v>99999</v>
      </c>
      <c r="S282" t="s">
        <v>30</v>
      </c>
      <c r="T282" t="s">
        <v>35</v>
      </c>
      <c r="U282" t="s">
        <v>72</v>
      </c>
      <c r="V282" t="s">
        <v>73</v>
      </c>
      <c r="W282">
        <v>12.75</v>
      </c>
      <c r="X282">
        <v>43</v>
      </c>
      <c r="Y282">
        <v>548.25</v>
      </c>
      <c r="Z282">
        <v>52.631999999999998</v>
      </c>
    </row>
    <row r="283" spans="1:26" x14ac:dyDescent="0.35">
      <c r="A283">
        <v>1329</v>
      </c>
      <c r="B283">
        <v>41953</v>
      </c>
      <c r="C283">
        <v>10</v>
      </c>
      <c r="D283" t="s">
        <v>97</v>
      </c>
      <c r="E283" t="s">
        <v>98</v>
      </c>
      <c r="F283" t="s">
        <v>99</v>
      </c>
      <c r="G283" t="s">
        <v>100</v>
      </c>
      <c r="H283">
        <v>99999</v>
      </c>
      <c r="I283" t="s">
        <v>30</v>
      </c>
      <c r="J283" t="s">
        <v>101</v>
      </c>
      <c r="K283" t="s">
        <v>45</v>
      </c>
      <c r="L283">
        <v>41955</v>
      </c>
      <c r="M283" t="s">
        <v>46</v>
      </c>
      <c r="N283" t="s">
        <v>102</v>
      </c>
      <c r="O283" t="s">
        <v>98</v>
      </c>
      <c r="P283" t="s">
        <v>99</v>
      </c>
      <c r="Q283" t="s">
        <v>100</v>
      </c>
      <c r="R283">
        <v>99999</v>
      </c>
      <c r="S283" t="s">
        <v>30</v>
      </c>
      <c r="U283" t="s">
        <v>111</v>
      </c>
      <c r="V283" t="s">
        <v>112</v>
      </c>
      <c r="W283">
        <v>22</v>
      </c>
      <c r="X283">
        <v>96</v>
      </c>
      <c r="Y283">
        <v>2112</v>
      </c>
      <c r="Z283">
        <v>221.76000000000002</v>
      </c>
    </row>
    <row r="284" spans="1:26" x14ac:dyDescent="0.35">
      <c r="A284">
        <v>1330</v>
      </c>
      <c r="B284">
        <v>41953</v>
      </c>
      <c r="C284">
        <v>10</v>
      </c>
      <c r="D284" t="s">
        <v>97</v>
      </c>
      <c r="E284" t="s">
        <v>98</v>
      </c>
      <c r="F284" t="s">
        <v>99</v>
      </c>
      <c r="G284" t="s">
        <v>100</v>
      </c>
      <c r="H284">
        <v>99999</v>
      </c>
      <c r="I284" t="s">
        <v>30</v>
      </c>
      <c r="J284" t="s">
        <v>101</v>
      </c>
      <c r="K284" t="s">
        <v>45</v>
      </c>
      <c r="L284">
        <v>41955</v>
      </c>
      <c r="M284" t="s">
        <v>46</v>
      </c>
      <c r="N284" t="s">
        <v>102</v>
      </c>
      <c r="O284" t="s">
        <v>98</v>
      </c>
      <c r="P284" t="s">
        <v>99</v>
      </c>
      <c r="Q284" t="s">
        <v>100</v>
      </c>
      <c r="R284">
        <v>99999</v>
      </c>
      <c r="S284" t="s">
        <v>30</v>
      </c>
      <c r="U284" t="s">
        <v>64</v>
      </c>
      <c r="V284" t="s">
        <v>65</v>
      </c>
      <c r="W284">
        <v>9.1999999999999993</v>
      </c>
      <c r="X284">
        <v>34</v>
      </c>
      <c r="Y284">
        <v>312.79999999999995</v>
      </c>
      <c r="Z284">
        <v>31.279999999999998</v>
      </c>
    </row>
    <row r="285" spans="1:26" x14ac:dyDescent="0.35">
      <c r="A285">
        <v>1331</v>
      </c>
      <c r="B285">
        <v>41954</v>
      </c>
      <c r="C285">
        <v>11</v>
      </c>
      <c r="D285" t="s">
        <v>113</v>
      </c>
      <c r="E285" t="s">
        <v>114</v>
      </c>
      <c r="F285" t="s">
        <v>115</v>
      </c>
      <c r="G285" t="s">
        <v>116</v>
      </c>
      <c r="H285">
        <v>99999</v>
      </c>
      <c r="I285" t="s">
        <v>30</v>
      </c>
      <c r="J285" t="s">
        <v>94</v>
      </c>
      <c r="K285" t="s">
        <v>95</v>
      </c>
      <c r="M285" t="s">
        <v>62</v>
      </c>
      <c r="N285" t="s">
        <v>117</v>
      </c>
      <c r="O285" t="s">
        <v>114</v>
      </c>
      <c r="P285" t="s">
        <v>115</v>
      </c>
      <c r="Q285" t="s">
        <v>116</v>
      </c>
      <c r="R285">
        <v>99999</v>
      </c>
      <c r="S285" t="s">
        <v>30</v>
      </c>
      <c r="U285" t="s">
        <v>38</v>
      </c>
      <c r="V285" t="s">
        <v>39</v>
      </c>
      <c r="W285">
        <v>3.5</v>
      </c>
      <c r="X285">
        <v>42</v>
      </c>
      <c r="Y285">
        <v>147</v>
      </c>
      <c r="Z285">
        <v>15.141000000000002</v>
      </c>
    </row>
    <row r="286" spans="1:26" x14ac:dyDescent="0.35">
      <c r="A286">
        <v>1332</v>
      </c>
      <c r="B286">
        <v>41954</v>
      </c>
      <c r="C286">
        <v>11</v>
      </c>
      <c r="D286" t="s">
        <v>113</v>
      </c>
      <c r="E286" t="s">
        <v>114</v>
      </c>
      <c r="F286" t="s">
        <v>115</v>
      </c>
      <c r="G286" t="s">
        <v>116</v>
      </c>
      <c r="H286">
        <v>99999</v>
      </c>
      <c r="I286" t="s">
        <v>30</v>
      </c>
      <c r="J286" t="s">
        <v>94</v>
      </c>
      <c r="K286" t="s">
        <v>95</v>
      </c>
      <c r="M286" t="s">
        <v>62</v>
      </c>
      <c r="N286" t="s">
        <v>117</v>
      </c>
      <c r="O286" t="s">
        <v>114</v>
      </c>
      <c r="P286" t="s">
        <v>115</v>
      </c>
      <c r="Q286" t="s">
        <v>116</v>
      </c>
      <c r="R286">
        <v>99999</v>
      </c>
      <c r="S286" t="s">
        <v>30</v>
      </c>
      <c r="U286" t="s">
        <v>103</v>
      </c>
      <c r="V286" t="s">
        <v>37</v>
      </c>
      <c r="W286">
        <v>2.99</v>
      </c>
      <c r="X286">
        <v>100</v>
      </c>
      <c r="Y286">
        <v>299</v>
      </c>
      <c r="Z286">
        <v>30.498000000000001</v>
      </c>
    </row>
    <row r="287" spans="1:26" x14ac:dyDescent="0.35">
      <c r="A287">
        <v>1333</v>
      </c>
      <c r="B287">
        <v>41944</v>
      </c>
      <c r="C287">
        <v>1</v>
      </c>
      <c r="D287" t="s">
        <v>118</v>
      </c>
      <c r="E287" t="s">
        <v>119</v>
      </c>
      <c r="F287" t="s">
        <v>120</v>
      </c>
      <c r="G287" t="s">
        <v>121</v>
      </c>
      <c r="H287">
        <v>99999</v>
      </c>
      <c r="I287" t="s">
        <v>30</v>
      </c>
      <c r="J287" t="s">
        <v>60</v>
      </c>
      <c r="K287" t="s">
        <v>61</v>
      </c>
      <c r="N287" t="s">
        <v>122</v>
      </c>
      <c r="O287" t="s">
        <v>119</v>
      </c>
      <c r="P287" t="s">
        <v>120</v>
      </c>
      <c r="Q287" t="s">
        <v>121</v>
      </c>
      <c r="R287">
        <v>99999</v>
      </c>
      <c r="S287" t="s">
        <v>30</v>
      </c>
      <c r="U287" t="s">
        <v>54</v>
      </c>
      <c r="V287" t="s">
        <v>37</v>
      </c>
      <c r="W287">
        <v>18</v>
      </c>
      <c r="X287">
        <v>42</v>
      </c>
      <c r="Y287">
        <v>756</v>
      </c>
      <c r="Z287">
        <v>76.356000000000009</v>
      </c>
    </row>
    <row r="288" spans="1:26" x14ac:dyDescent="0.35">
      <c r="A288">
        <v>1334</v>
      </c>
      <c r="B288">
        <v>41944</v>
      </c>
      <c r="C288">
        <v>1</v>
      </c>
      <c r="D288" t="s">
        <v>118</v>
      </c>
      <c r="E288" t="s">
        <v>119</v>
      </c>
      <c r="F288" t="s">
        <v>120</v>
      </c>
      <c r="G288" t="s">
        <v>121</v>
      </c>
      <c r="H288">
        <v>99999</v>
      </c>
      <c r="I288" t="s">
        <v>30</v>
      </c>
      <c r="J288" t="s">
        <v>60</v>
      </c>
      <c r="K288" t="s">
        <v>61</v>
      </c>
      <c r="N288" t="s">
        <v>122</v>
      </c>
      <c r="O288" t="s">
        <v>119</v>
      </c>
      <c r="P288" t="s">
        <v>120</v>
      </c>
      <c r="Q288" t="s">
        <v>121</v>
      </c>
      <c r="R288">
        <v>99999</v>
      </c>
      <c r="S288" t="s">
        <v>30</v>
      </c>
      <c r="U288" t="s">
        <v>55</v>
      </c>
      <c r="V288" t="s">
        <v>37</v>
      </c>
      <c r="W288">
        <v>46</v>
      </c>
      <c r="X288">
        <v>16</v>
      </c>
      <c r="Y288">
        <v>736</v>
      </c>
      <c r="Z288">
        <v>70.656000000000006</v>
      </c>
    </row>
    <row r="289" spans="1:26" x14ac:dyDescent="0.35">
      <c r="A289">
        <v>1335</v>
      </c>
      <c r="B289">
        <v>41944</v>
      </c>
      <c r="C289">
        <v>1</v>
      </c>
      <c r="D289" t="s">
        <v>118</v>
      </c>
      <c r="E289" t="s">
        <v>119</v>
      </c>
      <c r="F289" t="s">
        <v>120</v>
      </c>
      <c r="G289" t="s">
        <v>121</v>
      </c>
      <c r="H289">
        <v>99999</v>
      </c>
      <c r="I289" t="s">
        <v>30</v>
      </c>
      <c r="J289" t="s">
        <v>60</v>
      </c>
      <c r="K289" t="s">
        <v>61</v>
      </c>
      <c r="N289" t="s">
        <v>122</v>
      </c>
      <c r="O289" t="s">
        <v>119</v>
      </c>
      <c r="P289" t="s">
        <v>120</v>
      </c>
      <c r="Q289" t="s">
        <v>121</v>
      </c>
      <c r="R289">
        <v>99999</v>
      </c>
      <c r="S289" t="s">
        <v>30</v>
      </c>
      <c r="U289" t="s">
        <v>103</v>
      </c>
      <c r="V289" t="s">
        <v>37</v>
      </c>
      <c r="W289">
        <v>2.99</v>
      </c>
      <c r="X289">
        <v>22</v>
      </c>
      <c r="Y289">
        <v>65.78</v>
      </c>
      <c r="Z289">
        <v>6.3806599999999998</v>
      </c>
    </row>
    <row r="290" spans="1:26" x14ac:dyDescent="0.35">
      <c r="A290">
        <v>1336</v>
      </c>
      <c r="B290">
        <v>41971</v>
      </c>
      <c r="C290">
        <v>28</v>
      </c>
      <c r="D290" t="s">
        <v>90</v>
      </c>
      <c r="E290" t="s">
        <v>91</v>
      </c>
      <c r="F290" t="s">
        <v>92</v>
      </c>
      <c r="G290" t="s">
        <v>93</v>
      </c>
      <c r="H290">
        <v>99999</v>
      </c>
      <c r="I290" t="s">
        <v>30</v>
      </c>
      <c r="J290" t="s">
        <v>94</v>
      </c>
      <c r="K290" t="s">
        <v>95</v>
      </c>
      <c r="L290">
        <v>41973</v>
      </c>
      <c r="M290" t="s">
        <v>62</v>
      </c>
      <c r="N290" t="s">
        <v>96</v>
      </c>
      <c r="O290" t="s">
        <v>91</v>
      </c>
      <c r="P290" t="s">
        <v>92</v>
      </c>
      <c r="Q290" t="s">
        <v>93</v>
      </c>
      <c r="R290">
        <v>99999</v>
      </c>
      <c r="S290" t="s">
        <v>30</v>
      </c>
      <c r="T290" t="s">
        <v>48</v>
      </c>
      <c r="U290" t="s">
        <v>80</v>
      </c>
      <c r="V290" t="s">
        <v>81</v>
      </c>
      <c r="W290">
        <v>9.65</v>
      </c>
      <c r="X290">
        <v>46</v>
      </c>
      <c r="Y290">
        <v>443.90000000000003</v>
      </c>
      <c r="Z290">
        <v>45.721700000000006</v>
      </c>
    </row>
    <row r="291" spans="1:26" x14ac:dyDescent="0.35">
      <c r="A291">
        <v>1337</v>
      </c>
      <c r="B291">
        <v>41971</v>
      </c>
      <c r="C291">
        <v>28</v>
      </c>
      <c r="D291" t="s">
        <v>90</v>
      </c>
      <c r="E291" t="s">
        <v>91</v>
      </c>
      <c r="F291" t="s">
        <v>92</v>
      </c>
      <c r="G291" t="s">
        <v>93</v>
      </c>
      <c r="H291">
        <v>99999</v>
      </c>
      <c r="I291" t="s">
        <v>30</v>
      </c>
      <c r="J291" t="s">
        <v>94</v>
      </c>
      <c r="K291" t="s">
        <v>95</v>
      </c>
      <c r="L291">
        <v>41973</v>
      </c>
      <c r="M291" t="s">
        <v>62</v>
      </c>
      <c r="N291" t="s">
        <v>96</v>
      </c>
      <c r="O291" t="s">
        <v>91</v>
      </c>
      <c r="P291" t="s">
        <v>92</v>
      </c>
      <c r="Q291" t="s">
        <v>93</v>
      </c>
      <c r="R291">
        <v>99999</v>
      </c>
      <c r="S291" t="s">
        <v>30</v>
      </c>
      <c r="T291" t="s">
        <v>48</v>
      </c>
      <c r="U291" t="s">
        <v>123</v>
      </c>
      <c r="V291" t="s">
        <v>124</v>
      </c>
      <c r="W291">
        <v>18.399999999999999</v>
      </c>
      <c r="X291">
        <v>100</v>
      </c>
      <c r="Y291">
        <v>1839.9999999999998</v>
      </c>
      <c r="Z291">
        <v>184</v>
      </c>
    </row>
    <row r="292" spans="1:26" x14ac:dyDescent="0.35">
      <c r="A292">
        <v>1338</v>
      </c>
      <c r="B292">
        <v>41952</v>
      </c>
      <c r="C292">
        <v>9</v>
      </c>
      <c r="D292" t="s">
        <v>125</v>
      </c>
      <c r="E292" t="s">
        <v>126</v>
      </c>
      <c r="F292" t="s">
        <v>127</v>
      </c>
      <c r="G292" t="s">
        <v>128</v>
      </c>
      <c r="H292">
        <v>99999</v>
      </c>
      <c r="I292" t="s">
        <v>30</v>
      </c>
      <c r="J292" t="s">
        <v>129</v>
      </c>
      <c r="K292" t="s">
        <v>32</v>
      </c>
      <c r="L292">
        <v>41954</v>
      </c>
      <c r="M292" t="s">
        <v>46</v>
      </c>
      <c r="N292" t="s">
        <v>130</v>
      </c>
      <c r="O292" t="s">
        <v>126</v>
      </c>
      <c r="P292" t="s">
        <v>127</v>
      </c>
      <c r="Q292" t="s">
        <v>128</v>
      </c>
      <c r="R292">
        <v>99999</v>
      </c>
      <c r="S292" t="s">
        <v>30</v>
      </c>
      <c r="T292" t="s">
        <v>35</v>
      </c>
      <c r="U292" t="s">
        <v>131</v>
      </c>
      <c r="V292" t="s">
        <v>132</v>
      </c>
      <c r="W292">
        <v>19.5</v>
      </c>
      <c r="X292">
        <v>87</v>
      </c>
      <c r="Y292">
        <v>1696.5</v>
      </c>
      <c r="Z292">
        <v>174.73950000000002</v>
      </c>
    </row>
    <row r="293" spans="1:26" x14ac:dyDescent="0.35">
      <c r="A293">
        <v>1339</v>
      </c>
      <c r="B293">
        <v>41952</v>
      </c>
      <c r="C293">
        <v>9</v>
      </c>
      <c r="D293" t="s">
        <v>125</v>
      </c>
      <c r="E293" t="s">
        <v>126</v>
      </c>
      <c r="F293" t="s">
        <v>127</v>
      </c>
      <c r="G293" t="s">
        <v>128</v>
      </c>
      <c r="H293">
        <v>99999</v>
      </c>
      <c r="I293" t="s">
        <v>30</v>
      </c>
      <c r="J293" t="s">
        <v>129</v>
      </c>
      <c r="K293" t="s">
        <v>32</v>
      </c>
      <c r="L293">
        <v>41954</v>
      </c>
      <c r="M293" t="s">
        <v>46</v>
      </c>
      <c r="N293" t="s">
        <v>130</v>
      </c>
      <c r="O293" t="s">
        <v>126</v>
      </c>
      <c r="P293" t="s">
        <v>127</v>
      </c>
      <c r="Q293" t="s">
        <v>128</v>
      </c>
      <c r="R293">
        <v>99999</v>
      </c>
      <c r="S293" t="s">
        <v>30</v>
      </c>
      <c r="T293" t="s">
        <v>35</v>
      </c>
      <c r="U293" t="s">
        <v>133</v>
      </c>
      <c r="V293" t="s">
        <v>134</v>
      </c>
      <c r="W293">
        <v>34.799999999999997</v>
      </c>
      <c r="X293">
        <v>58</v>
      </c>
      <c r="Y293">
        <v>2018.3999999999999</v>
      </c>
      <c r="Z293">
        <v>205.8768</v>
      </c>
    </row>
    <row r="294" spans="1:26" x14ac:dyDescent="0.35">
      <c r="A294">
        <v>1340</v>
      </c>
      <c r="B294">
        <v>41949</v>
      </c>
      <c r="C294">
        <v>6</v>
      </c>
      <c r="D294" t="s">
        <v>82</v>
      </c>
      <c r="E294" t="s">
        <v>83</v>
      </c>
      <c r="F294" t="s">
        <v>84</v>
      </c>
      <c r="G294" t="s">
        <v>85</v>
      </c>
      <c r="H294">
        <v>99999</v>
      </c>
      <c r="I294" t="s">
        <v>30</v>
      </c>
      <c r="J294" t="s">
        <v>86</v>
      </c>
      <c r="K294" t="s">
        <v>61</v>
      </c>
      <c r="L294">
        <v>41951</v>
      </c>
      <c r="M294" t="s">
        <v>33</v>
      </c>
      <c r="N294" t="s">
        <v>87</v>
      </c>
      <c r="O294" t="s">
        <v>83</v>
      </c>
      <c r="P294" t="s">
        <v>84</v>
      </c>
      <c r="Q294" t="s">
        <v>85</v>
      </c>
      <c r="R294">
        <v>99999</v>
      </c>
      <c r="S294" t="s">
        <v>30</v>
      </c>
      <c r="T294" t="s">
        <v>48</v>
      </c>
      <c r="U294" t="s">
        <v>36</v>
      </c>
      <c r="V294" t="s">
        <v>37</v>
      </c>
      <c r="W294">
        <v>14</v>
      </c>
      <c r="X294">
        <v>85</v>
      </c>
      <c r="Y294">
        <v>1190</v>
      </c>
      <c r="Z294">
        <v>120.19</v>
      </c>
    </row>
    <row r="295" spans="1:26" x14ac:dyDescent="0.35">
      <c r="A295">
        <v>1341</v>
      </c>
      <c r="B295">
        <v>41951</v>
      </c>
      <c r="C295">
        <v>8</v>
      </c>
      <c r="D295" t="s">
        <v>56</v>
      </c>
      <c r="E295" t="s">
        <v>57</v>
      </c>
      <c r="F295" t="s">
        <v>58</v>
      </c>
      <c r="G295" t="s">
        <v>59</v>
      </c>
      <c r="H295">
        <v>99999</v>
      </c>
      <c r="I295" t="s">
        <v>30</v>
      </c>
      <c r="J295" t="s">
        <v>60</v>
      </c>
      <c r="K295" t="s">
        <v>61</v>
      </c>
      <c r="L295">
        <v>41953</v>
      </c>
      <c r="M295" t="s">
        <v>33</v>
      </c>
      <c r="N295" t="s">
        <v>63</v>
      </c>
      <c r="O295" t="s">
        <v>57</v>
      </c>
      <c r="P295" t="s">
        <v>58</v>
      </c>
      <c r="Q295" t="s">
        <v>59</v>
      </c>
      <c r="R295">
        <v>99999</v>
      </c>
      <c r="S295" t="s">
        <v>30</v>
      </c>
      <c r="T295" t="s">
        <v>35</v>
      </c>
      <c r="U295" t="s">
        <v>88</v>
      </c>
      <c r="V295" t="s">
        <v>89</v>
      </c>
      <c r="W295">
        <v>40</v>
      </c>
      <c r="X295">
        <v>28</v>
      </c>
      <c r="Y295">
        <v>1120</v>
      </c>
      <c r="Z295">
        <v>110.88</v>
      </c>
    </row>
    <row r="296" spans="1:26" x14ac:dyDescent="0.35">
      <c r="A296">
        <v>1342</v>
      </c>
      <c r="B296">
        <v>41951</v>
      </c>
      <c r="C296">
        <v>8</v>
      </c>
      <c r="D296" t="s">
        <v>56</v>
      </c>
      <c r="E296" t="s">
        <v>57</v>
      </c>
      <c r="F296" t="s">
        <v>58</v>
      </c>
      <c r="G296" t="s">
        <v>59</v>
      </c>
      <c r="H296">
        <v>99999</v>
      </c>
      <c r="I296" t="s">
        <v>30</v>
      </c>
      <c r="J296" t="s">
        <v>60</v>
      </c>
      <c r="K296" t="s">
        <v>61</v>
      </c>
      <c r="L296">
        <v>41953</v>
      </c>
      <c r="M296" t="s">
        <v>33</v>
      </c>
      <c r="N296" t="s">
        <v>63</v>
      </c>
      <c r="O296" t="s">
        <v>57</v>
      </c>
      <c r="P296" t="s">
        <v>58</v>
      </c>
      <c r="Q296" t="s">
        <v>59</v>
      </c>
      <c r="R296">
        <v>99999</v>
      </c>
      <c r="S296" t="s">
        <v>30</v>
      </c>
      <c r="T296" t="s">
        <v>35</v>
      </c>
      <c r="U296" t="s">
        <v>64</v>
      </c>
      <c r="V296" t="s">
        <v>65</v>
      </c>
      <c r="W296">
        <v>9.1999999999999993</v>
      </c>
      <c r="X296">
        <v>19</v>
      </c>
      <c r="Y296">
        <v>174.79999999999998</v>
      </c>
      <c r="Z296">
        <v>17.130400000000002</v>
      </c>
    </row>
    <row r="297" spans="1:26" x14ac:dyDescent="0.35">
      <c r="A297">
        <v>1343</v>
      </c>
      <c r="B297">
        <v>41968</v>
      </c>
      <c r="C297">
        <v>25</v>
      </c>
      <c r="D297" t="s">
        <v>137</v>
      </c>
      <c r="E297" t="s">
        <v>138</v>
      </c>
      <c r="F297" t="s">
        <v>99</v>
      </c>
      <c r="G297" t="s">
        <v>100</v>
      </c>
      <c r="H297">
        <v>99999</v>
      </c>
      <c r="I297" t="s">
        <v>30</v>
      </c>
      <c r="J297" t="s">
        <v>101</v>
      </c>
      <c r="K297" t="s">
        <v>45</v>
      </c>
      <c r="L297">
        <v>41970</v>
      </c>
      <c r="M297" t="s">
        <v>46</v>
      </c>
      <c r="N297" t="s">
        <v>139</v>
      </c>
      <c r="O297" t="s">
        <v>138</v>
      </c>
      <c r="P297" t="s">
        <v>99</v>
      </c>
      <c r="Q297" t="s">
        <v>100</v>
      </c>
      <c r="R297">
        <v>99999</v>
      </c>
      <c r="S297" t="s">
        <v>30</v>
      </c>
      <c r="T297" t="s">
        <v>79</v>
      </c>
      <c r="U297" t="s">
        <v>146</v>
      </c>
      <c r="V297" t="s">
        <v>65</v>
      </c>
      <c r="W297">
        <v>10</v>
      </c>
      <c r="X297">
        <v>99</v>
      </c>
      <c r="Y297">
        <v>990</v>
      </c>
      <c r="Z297">
        <v>102.96000000000001</v>
      </c>
    </row>
    <row r="298" spans="1:26" x14ac:dyDescent="0.35">
      <c r="A298">
        <v>1344</v>
      </c>
      <c r="B298">
        <v>41969</v>
      </c>
      <c r="C298">
        <v>26</v>
      </c>
      <c r="D298" t="s">
        <v>140</v>
      </c>
      <c r="E298" t="s">
        <v>141</v>
      </c>
      <c r="F298" t="s">
        <v>115</v>
      </c>
      <c r="G298" t="s">
        <v>116</v>
      </c>
      <c r="H298">
        <v>99999</v>
      </c>
      <c r="I298" t="s">
        <v>30</v>
      </c>
      <c r="J298" t="s">
        <v>94</v>
      </c>
      <c r="K298" t="s">
        <v>95</v>
      </c>
      <c r="L298">
        <v>41971</v>
      </c>
      <c r="M298" t="s">
        <v>62</v>
      </c>
      <c r="N298" t="s">
        <v>142</v>
      </c>
      <c r="O298" t="s">
        <v>141</v>
      </c>
      <c r="P298" t="s">
        <v>115</v>
      </c>
      <c r="Q298" t="s">
        <v>116</v>
      </c>
      <c r="R298">
        <v>99999</v>
      </c>
      <c r="S298" t="s">
        <v>30</v>
      </c>
      <c r="T298" t="s">
        <v>48</v>
      </c>
      <c r="U298" t="s">
        <v>147</v>
      </c>
      <c r="V298" t="s">
        <v>148</v>
      </c>
      <c r="W298">
        <v>21.35</v>
      </c>
      <c r="X298">
        <v>69</v>
      </c>
      <c r="Y298">
        <v>1473.15</v>
      </c>
      <c r="Z298">
        <v>153.20760000000004</v>
      </c>
    </row>
    <row r="299" spans="1:26" x14ac:dyDescent="0.35">
      <c r="A299">
        <v>1345</v>
      </c>
      <c r="B299">
        <v>41969</v>
      </c>
      <c r="C299">
        <v>26</v>
      </c>
      <c r="D299" t="s">
        <v>140</v>
      </c>
      <c r="E299" t="s">
        <v>141</v>
      </c>
      <c r="F299" t="s">
        <v>115</v>
      </c>
      <c r="G299" t="s">
        <v>116</v>
      </c>
      <c r="H299">
        <v>99999</v>
      </c>
      <c r="I299" t="s">
        <v>30</v>
      </c>
      <c r="J299" t="s">
        <v>94</v>
      </c>
      <c r="K299" t="s">
        <v>95</v>
      </c>
      <c r="L299">
        <v>41971</v>
      </c>
      <c r="M299" t="s">
        <v>62</v>
      </c>
      <c r="N299" t="s">
        <v>142</v>
      </c>
      <c r="O299" t="s">
        <v>141</v>
      </c>
      <c r="P299" t="s">
        <v>115</v>
      </c>
      <c r="Q299" t="s">
        <v>116</v>
      </c>
      <c r="R299">
        <v>99999</v>
      </c>
      <c r="S299" t="s">
        <v>30</v>
      </c>
      <c r="T299" t="s">
        <v>48</v>
      </c>
      <c r="U299" t="s">
        <v>80</v>
      </c>
      <c r="V299" t="s">
        <v>81</v>
      </c>
      <c r="W299">
        <v>9.65</v>
      </c>
      <c r="X299">
        <v>37</v>
      </c>
      <c r="Y299">
        <v>357.05</v>
      </c>
      <c r="Z299">
        <v>33.919750000000001</v>
      </c>
    </row>
    <row r="300" spans="1:26" x14ac:dyDescent="0.35">
      <c r="A300">
        <v>1346</v>
      </c>
      <c r="B300">
        <v>41969</v>
      </c>
      <c r="C300">
        <v>26</v>
      </c>
      <c r="D300" t="s">
        <v>140</v>
      </c>
      <c r="E300" t="s">
        <v>141</v>
      </c>
      <c r="F300" t="s">
        <v>115</v>
      </c>
      <c r="G300" t="s">
        <v>116</v>
      </c>
      <c r="H300">
        <v>99999</v>
      </c>
      <c r="I300" t="s">
        <v>30</v>
      </c>
      <c r="J300" t="s">
        <v>94</v>
      </c>
      <c r="K300" t="s">
        <v>95</v>
      </c>
      <c r="L300">
        <v>41971</v>
      </c>
      <c r="M300" t="s">
        <v>62</v>
      </c>
      <c r="N300" t="s">
        <v>142</v>
      </c>
      <c r="O300" t="s">
        <v>141</v>
      </c>
      <c r="P300" t="s">
        <v>115</v>
      </c>
      <c r="Q300" t="s">
        <v>116</v>
      </c>
      <c r="R300">
        <v>99999</v>
      </c>
      <c r="S300" t="s">
        <v>30</v>
      </c>
      <c r="T300" t="s">
        <v>48</v>
      </c>
      <c r="U300" t="s">
        <v>123</v>
      </c>
      <c r="V300" t="s">
        <v>124</v>
      </c>
      <c r="W300">
        <v>18.399999999999999</v>
      </c>
      <c r="X300">
        <v>64</v>
      </c>
      <c r="Y300">
        <v>1177.5999999999999</v>
      </c>
      <c r="Z300">
        <v>118.93759999999999</v>
      </c>
    </row>
    <row r="301" spans="1:26" x14ac:dyDescent="0.35">
      <c r="A301">
        <v>1347</v>
      </c>
      <c r="B301">
        <v>41972</v>
      </c>
      <c r="C301">
        <v>29</v>
      </c>
      <c r="D301" t="s">
        <v>66</v>
      </c>
      <c r="E301" t="s">
        <v>67</v>
      </c>
      <c r="F301" t="s">
        <v>68</v>
      </c>
      <c r="G301" t="s">
        <v>69</v>
      </c>
      <c r="H301">
        <v>99999</v>
      </c>
      <c r="I301" t="s">
        <v>30</v>
      </c>
      <c r="J301" t="s">
        <v>70</v>
      </c>
      <c r="K301" t="s">
        <v>32</v>
      </c>
      <c r="L301">
        <v>41974</v>
      </c>
      <c r="M301" t="s">
        <v>33</v>
      </c>
      <c r="N301" t="s">
        <v>71</v>
      </c>
      <c r="O301" t="s">
        <v>67</v>
      </c>
      <c r="P301" t="s">
        <v>68</v>
      </c>
      <c r="Q301" t="s">
        <v>69</v>
      </c>
      <c r="R301">
        <v>99999</v>
      </c>
      <c r="S301" t="s">
        <v>30</v>
      </c>
      <c r="T301" t="s">
        <v>35</v>
      </c>
      <c r="U301" t="s">
        <v>36</v>
      </c>
      <c r="V301" t="s">
        <v>37</v>
      </c>
      <c r="W301">
        <v>14</v>
      </c>
      <c r="X301">
        <v>38</v>
      </c>
      <c r="Y301">
        <v>532</v>
      </c>
      <c r="Z301">
        <v>55.328000000000003</v>
      </c>
    </row>
    <row r="302" spans="1:26" x14ac:dyDescent="0.35">
      <c r="A302">
        <v>1348</v>
      </c>
      <c r="B302">
        <v>41949</v>
      </c>
      <c r="C302">
        <v>6</v>
      </c>
      <c r="D302" t="s">
        <v>82</v>
      </c>
      <c r="E302" t="s">
        <v>83</v>
      </c>
      <c r="F302" t="s">
        <v>84</v>
      </c>
      <c r="G302" t="s">
        <v>85</v>
      </c>
      <c r="H302">
        <v>99999</v>
      </c>
      <c r="I302" t="s">
        <v>30</v>
      </c>
      <c r="J302" t="s">
        <v>86</v>
      </c>
      <c r="K302" t="s">
        <v>61</v>
      </c>
      <c r="L302">
        <v>41951</v>
      </c>
      <c r="M302" t="s">
        <v>62</v>
      </c>
      <c r="N302" t="s">
        <v>87</v>
      </c>
      <c r="O302" t="s">
        <v>83</v>
      </c>
      <c r="P302" t="s">
        <v>84</v>
      </c>
      <c r="Q302" t="s">
        <v>85</v>
      </c>
      <c r="R302">
        <v>99999</v>
      </c>
      <c r="S302" t="s">
        <v>30</v>
      </c>
      <c r="T302" t="s">
        <v>35</v>
      </c>
      <c r="U302" t="s">
        <v>72</v>
      </c>
      <c r="V302" t="s">
        <v>73</v>
      </c>
      <c r="W302">
        <v>12.75</v>
      </c>
      <c r="X302">
        <v>15</v>
      </c>
      <c r="Y302">
        <v>191.25</v>
      </c>
      <c r="Z302">
        <v>18.55125</v>
      </c>
    </row>
    <row r="303" spans="1:26" x14ac:dyDescent="0.35">
      <c r="A303">
        <v>1350</v>
      </c>
      <c r="B303">
        <v>41947</v>
      </c>
      <c r="C303">
        <v>4</v>
      </c>
      <c r="D303" t="s">
        <v>40</v>
      </c>
      <c r="E303" t="s">
        <v>41</v>
      </c>
      <c r="F303" t="s">
        <v>42</v>
      </c>
      <c r="G303" t="s">
        <v>43</v>
      </c>
      <c r="H303">
        <v>99999</v>
      </c>
      <c r="I303" t="s">
        <v>30</v>
      </c>
      <c r="J303" t="s">
        <v>44</v>
      </c>
      <c r="K303" t="s">
        <v>45</v>
      </c>
      <c r="L303">
        <v>41949</v>
      </c>
      <c r="M303" t="s">
        <v>46</v>
      </c>
      <c r="N303" t="s">
        <v>47</v>
      </c>
      <c r="O303" t="s">
        <v>41</v>
      </c>
      <c r="P303" t="s">
        <v>42</v>
      </c>
      <c r="Q303" t="s">
        <v>43</v>
      </c>
      <c r="R303">
        <v>99999</v>
      </c>
      <c r="S303" t="s">
        <v>30</v>
      </c>
      <c r="T303" t="s">
        <v>48</v>
      </c>
      <c r="U303" t="s">
        <v>149</v>
      </c>
      <c r="V303" t="s">
        <v>110</v>
      </c>
      <c r="W303">
        <v>81</v>
      </c>
      <c r="X303">
        <v>52</v>
      </c>
      <c r="Y303">
        <v>4212</v>
      </c>
      <c r="Z303">
        <v>412.77600000000001</v>
      </c>
    </row>
    <row r="304" spans="1:26" x14ac:dyDescent="0.35">
      <c r="A304">
        <v>1351</v>
      </c>
      <c r="B304">
        <v>41947</v>
      </c>
      <c r="C304">
        <v>4</v>
      </c>
      <c r="D304" t="s">
        <v>40</v>
      </c>
      <c r="E304" t="s">
        <v>41</v>
      </c>
      <c r="F304" t="s">
        <v>42</v>
      </c>
      <c r="G304" t="s">
        <v>43</v>
      </c>
      <c r="H304">
        <v>99999</v>
      </c>
      <c r="I304" t="s">
        <v>30</v>
      </c>
      <c r="J304" t="s">
        <v>44</v>
      </c>
      <c r="K304" t="s">
        <v>45</v>
      </c>
      <c r="L304">
        <v>41949</v>
      </c>
      <c r="M304" t="s">
        <v>46</v>
      </c>
      <c r="N304" t="s">
        <v>47</v>
      </c>
      <c r="O304" t="s">
        <v>41</v>
      </c>
      <c r="P304" t="s">
        <v>42</v>
      </c>
      <c r="Q304" t="s">
        <v>43</v>
      </c>
      <c r="R304">
        <v>99999</v>
      </c>
      <c r="S304" t="s">
        <v>30</v>
      </c>
      <c r="T304" t="s">
        <v>48</v>
      </c>
      <c r="U304" t="s">
        <v>150</v>
      </c>
      <c r="V304" t="s">
        <v>151</v>
      </c>
      <c r="W304">
        <v>7</v>
      </c>
      <c r="X304">
        <v>37</v>
      </c>
      <c r="Y304">
        <v>259</v>
      </c>
      <c r="Z304">
        <v>25.382000000000001</v>
      </c>
    </row>
    <row r="305" spans="1:26" x14ac:dyDescent="0.35">
      <c r="A305">
        <v>1353</v>
      </c>
      <c r="B305">
        <v>41951</v>
      </c>
      <c r="C305">
        <v>8</v>
      </c>
      <c r="D305" t="s">
        <v>56</v>
      </c>
      <c r="E305" t="s">
        <v>57</v>
      </c>
      <c r="F305" t="s">
        <v>58</v>
      </c>
      <c r="G305" t="s">
        <v>59</v>
      </c>
      <c r="H305">
        <v>99999</v>
      </c>
      <c r="I305" t="s">
        <v>30</v>
      </c>
      <c r="J305" t="s">
        <v>60</v>
      </c>
      <c r="K305" t="s">
        <v>61</v>
      </c>
      <c r="L305">
        <v>41953</v>
      </c>
      <c r="M305" t="s">
        <v>62</v>
      </c>
      <c r="N305" t="s">
        <v>63</v>
      </c>
      <c r="O305" t="s">
        <v>57</v>
      </c>
      <c r="P305" t="s">
        <v>58</v>
      </c>
      <c r="Q305" t="s">
        <v>59</v>
      </c>
      <c r="R305">
        <v>99999</v>
      </c>
      <c r="S305" t="s">
        <v>30</v>
      </c>
      <c r="T305" t="s">
        <v>48</v>
      </c>
      <c r="U305" t="s">
        <v>133</v>
      </c>
      <c r="V305" t="s">
        <v>134</v>
      </c>
      <c r="W305">
        <v>34.799999999999997</v>
      </c>
      <c r="X305">
        <v>24</v>
      </c>
      <c r="Y305">
        <v>835.19999999999993</v>
      </c>
      <c r="Z305">
        <v>80.179199999999994</v>
      </c>
    </row>
    <row r="306" spans="1:26" x14ac:dyDescent="0.35">
      <c r="A306">
        <v>1356</v>
      </c>
      <c r="B306">
        <v>41946</v>
      </c>
      <c r="C306">
        <v>3</v>
      </c>
      <c r="D306" t="s">
        <v>74</v>
      </c>
      <c r="E306" t="s">
        <v>75</v>
      </c>
      <c r="F306" t="s">
        <v>76</v>
      </c>
      <c r="G306" t="s">
        <v>77</v>
      </c>
      <c r="H306">
        <v>99999</v>
      </c>
      <c r="I306" t="s">
        <v>30</v>
      </c>
      <c r="J306" t="s">
        <v>31</v>
      </c>
      <c r="K306" t="s">
        <v>32</v>
      </c>
      <c r="L306">
        <v>41948</v>
      </c>
      <c r="M306" t="s">
        <v>33</v>
      </c>
      <c r="N306" t="s">
        <v>78</v>
      </c>
      <c r="O306" t="s">
        <v>75</v>
      </c>
      <c r="P306" t="s">
        <v>76</v>
      </c>
      <c r="Q306" t="s">
        <v>77</v>
      </c>
      <c r="R306">
        <v>99999</v>
      </c>
      <c r="S306" t="s">
        <v>30</v>
      </c>
      <c r="T306" t="s">
        <v>79</v>
      </c>
      <c r="U306" t="s">
        <v>135</v>
      </c>
      <c r="V306" t="s">
        <v>112</v>
      </c>
      <c r="W306">
        <v>10</v>
      </c>
      <c r="X306">
        <v>36</v>
      </c>
      <c r="Y306">
        <v>360</v>
      </c>
      <c r="Z306">
        <v>37.08</v>
      </c>
    </row>
    <row r="307" spans="1:26" x14ac:dyDescent="0.35">
      <c r="A307">
        <v>1357</v>
      </c>
      <c r="B307">
        <v>41946</v>
      </c>
      <c r="C307">
        <v>3</v>
      </c>
      <c r="D307" t="s">
        <v>74</v>
      </c>
      <c r="E307" t="s">
        <v>75</v>
      </c>
      <c r="F307" t="s">
        <v>76</v>
      </c>
      <c r="G307" t="s">
        <v>77</v>
      </c>
      <c r="H307">
        <v>99999</v>
      </c>
      <c r="I307" t="s">
        <v>30</v>
      </c>
      <c r="J307" t="s">
        <v>31</v>
      </c>
      <c r="K307" t="s">
        <v>32</v>
      </c>
      <c r="L307">
        <v>41948</v>
      </c>
      <c r="M307" t="s">
        <v>33</v>
      </c>
      <c r="N307" t="s">
        <v>78</v>
      </c>
      <c r="O307" t="s">
        <v>75</v>
      </c>
      <c r="P307" t="s">
        <v>76</v>
      </c>
      <c r="Q307" t="s">
        <v>77</v>
      </c>
      <c r="R307">
        <v>99999</v>
      </c>
      <c r="S307" t="s">
        <v>30</v>
      </c>
      <c r="T307" t="s">
        <v>79</v>
      </c>
      <c r="U307" t="s">
        <v>88</v>
      </c>
      <c r="V307" t="s">
        <v>89</v>
      </c>
      <c r="W307">
        <v>40</v>
      </c>
      <c r="X307">
        <v>24</v>
      </c>
      <c r="Y307">
        <v>960</v>
      </c>
      <c r="Z307">
        <v>96</v>
      </c>
    </row>
    <row r="308" spans="1:26" x14ac:dyDescent="0.35">
      <c r="A308">
        <v>1361</v>
      </c>
      <c r="B308">
        <v>41953</v>
      </c>
      <c r="C308">
        <v>10</v>
      </c>
      <c r="D308" t="s">
        <v>97</v>
      </c>
      <c r="E308" t="s">
        <v>98</v>
      </c>
      <c r="F308" t="s">
        <v>99</v>
      </c>
      <c r="G308" t="s">
        <v>100</v>
      </c>
      <c r="H308">
        <v>99999</v>
      </c>
      <c r="I308" t="s">
        <v>30</v>
      </c>
      <c r="J308" t="s">
        <v>101</v>
      </c>
      <c r="K308" t="s">
        <v>45</v>
      </c>
      <c r="L308">
        <v>41955</v>
      </c>
      <c r="M308" t="s">
        <v>33</v>
      </c>
      <c r="N308" t="s">
        <v>102</v>
      </c>
      <c r="O308" t="s">
        <v>98</v>
      </c>
      <c r="P308" t="s">
        <v>99</v>
      </c>
      <c r="Q308" t="s">
        <v>100</v>
      </c>
      <c r="R308">
        <v>99999</v>
      </c>
      <c r="S308" t="s">
        <v>30</v>
      </c>
      <c r="T308" t="s">
        <v>48</v>
      </c>
      <c r="U308" t="s">
        <v>136</v>
      </c>
      <c r="V308" t="s">
        <v>39</v>
      </c>
      <c r="W308">
        <v>10</v>
      </c>
      <c r="X308">
        <v>20</v>
      </c>
      <c r="Y308">
        <v>200</v>
      </c>
      <c r="Z308">
        <v>20</v>
      </c>
    </row>
    <row r="309" spans="1:26" x14ac:dyDescent="0.35">
      <c r="A309">
        <v>1363</v>
      </c>
      <c r="B309">
        <v>41953</v>
      </c>
      <c r="C309">
        <v>10</v>
      </c>
      <c r="D309" t="s">
        <v>97</v>
      </c>
      <c r="E309" t="s">
        <v>98</v>
      </c>
      <c r="F309" t="s">
        <v>99</v>
      </c>
      <c r="G309" t="s">
        <v>100</v>
      </c>
      <c r="H309">
        <v>99999</v>
      </c>
      <c r="I309" t="s">
        <v>30</v>
      </c>
      <c r="J309" t="s">
        <v>101</v>
      </c>
      <c r="K309" t="s">
        <v>45</v>
      </c>
      <c r="M309" t="s">
        <v>46</v>
      </c>
      <c r="N309" t="s">
        <v>102</v>
      </c>
      <c r="O309" t="s">
        <v>98</v>
      </c>
      <c r="P309" t="s">
        <v>99</v>
      </c>
      <c r="Q309" t="s">
        <v>100</v>
      </c>
      <c r="R309">
        <v>99999</v>
      </c>
      <c r="S309" t="s">
        <v>30</v>
      </c>
      <c r="U309" t="s">
        <v>38</v>
      </c>
      <c r="V309" t="s">
        <v>39</v>
      </c>
      <c r="W309">
        <v>3.5</v>
      </c>
      <c r="X309">
        <v>11</v>
      </c>
      <c r="Y309">
        <v>38.5</v>
      </c>
      <c r="Z309">
        <v>3.7345000000000002</v>
      </c>
    </row>
    <row r="310" spans="1:26" x14ac:dyDescent="0.35">
      <c r="A310">
        <v>1364</v>
      </c>
      <c r="B310">
        <v>41954</v>
      </c>
      <c r="C310">
        <v>11</v>
      </c>
      <c r="D310" t="s">
        <v>113</v>
      </c>
      <c r="E310" t="s">
        <v>114</v>
      </c>
      <c r="F310" t="s">
        <v>115</v>
      </c>
      <c r="G310" t="s">
        <v>116</v>
      </c>
      <c r="H310">
        <v>99999</v>
      </c>
      <c r="I310" t="s">
        <v>30</v>
      </c>
      <c r="J310" t="s">
        <v>94</v>
      </c>
      <c r="K310" t="s">
        <v>95</v>
      </c>
      <c r="M310" t="s">
        <v>62</v>
      </c>
      <c r="N310" t="s">
        <v>117</v>
      </c>
      <c r="O310" t="s">
        <v>114</v>
      </c>
      <c r="P310" t="s">
        <v>115</v>
      </c>
      <c r="Q310" t="s">
        <v>116</v>
      </c>
      <c r="R310">
        <v>99999</v>
      </c>
      <c r="S310" t="s">
        <v>30</v>
      </c>
      <c r="U310" t="s">
        <v>88</v>
      </c>
      <c r="V310" t="s">
        <v>89</v>
      </c>
      <c r="W310">
        <v>40</v>
      </c>
      <c r="X310">
        <v>78</v>
      </c>
      <c r="Y310">
        <v>3120</v>
      </c>
      <c r="Z310">
        <v>299.52</v>
      </c>
    </row>
    <row r="311" spans="1:26" x14ac:dyDescent="0.35">
      <c r="A311">
        <v>1365</v>
      </c>
      <c r="B311">
        <v>41944</v>
      </c>
      <c r="C311">
        <v>1</v>
      </c>
      <c r="D311" t="s">
        <v>118</v>
      </c>
      <c r="E311" t="s">
        <v>119</v>
      </c>
      <c r="F311" t="s">
        <v>120</v>
      </c>
      <c r="G311" t="s">
        <v>121</v>
      </c>
      <c r="H311">
        <v>99999</v>
      </c>
      <c r="I311" t="s">
        <v>30</v>
      </c>
      <c r="J311" t="s">
        <v>60</v>
      </c>
      <c r="K311" t="s">
        <v>61</v>
      </c>
      <c r="M311" t="s">
        <v>62</v>
      </c>
      <c r="N311" t="s">
        <v>122</v>
      </c>
      <c r="O311" t="s">
        <v>119</v>
      </c>
      <c r="P311" t="s">
        <v>120</v>
      </c>
      <c r="Q311" t="s">
        <v>121</v>
      </c>
      <c r="R311">
        <v>99999</v>
      </c>
      <c r="S311" t="s">
        <v>30</v>
      </c>
      <c r="U311" t="s">
        <v>123</v>
      </c>
      <c r="V311" t="s">
        <v>124</v>
      </c>
      <c r="W311">
        <v>18.399999999999999</v>
      </c>
      <c r="X311">
        <v>76</v>
      </c>
      <c r="Y311">
        <v>1398.3999999999999</v>
      </c>
      <c r="Z311">
        <v>144.0352</v>
      </c>
    </row>
    <row r="312" spans="1:26" x14ac:dyDescent="0.35">
      <c r="A312">
        <v>1366</v>
      </c>
      <c r="B312">
        <v>41971</v>
      </c>
      <c r="C312">
        <v>28</v>
      </c>
      <c r="D312" t="s">
        <v>90</v>
      </c>
      <c r="E312" t="s">
        <v>91</v>
      </c>
      <c r="F312" t="s">
        <v>92</v>
      </c>
      <c r="G312" t="s">
        <v>93</v>
      </c>
      <c r="H312">
        <v>99999</v>
      </c>
      <c r="I312" t="s">
        <v>30</v>
      </c>
      <c r="J312" t="s">
        <v>94</v>
      </c>
      <c r="K312" t="s">
        <v>95</v>
      </c>
      <c r="L312">
        <v>41973</v>
      </c>
      <c r="M312" t="s">
        <v>62</v>
      </c>
      <c r="N312" t="s">
        <v>96</v>
      </c>
      <c r="O312" t="s">
        <v>91</v>
      </c>
      <c r="P312" t="s">
        <v>92</v>
      </c>
      <c r="Q312" t="s">
        <v>93</v>
      </c>
      <c r="R312">
        <v>99999</v>
      </c>
      <c r="S312" t="s">
        <v>30</v>
      </c>
      <c r="T312" t="s">
        <v>48</v>
      </c>
      <c r="U312" t="s">
        <v>55</v>
      </c>
      <c r="V312" t="s">
        <v>37</v>
      </c>
      <c r="W312">
        <v>46</v>
      </c>
      <c r="X312">
        <v>57</v>
      </c>
      <c r="Y312">
        <v>2622</v>
      </c>
      <c r="Z312">
        <v>272.68799999999999</v>
      </c>
    </row>
    <row r="313" spans="1:26" x14ac:dyDescent="0.35">
      <c r="A313">
        <v>1367</v>
      </c>
      <c r="B313">
        <v>41952</v>
      </c>
      <c r="C313">
        <v>9</v>
      </c>
      <c r="D313" t="s">
        <v>125</v>
      </c>
      <c r="E313" t="s">
        <v>126</v>
      </c>
      <c r="F313" t="s">
        <v>127</v>
      </c>
      <c r="G313" t="s">
        <v>128</v>
      </c>
      <c r="H313">
        <v>99999</v>
      </c>
      <c r="I313" t="s">
        <v>30</v>
      </c>
      <c r="J313" t="s">
        <v>129</v>
      </c>
      <c r="K313" t="s">
        <v>32</v>
      </c>
      <c r="L313">
        <v>41954</v>
      </c>
      <c r="M313" t="s">
        <v>46</v>
      </c>
      <c r="N313" t="s">
        <v>130</v>
      </c>
      <c r="O313" t="s">
        <v>126</v>
      </c>
      <c r="P313" t="s">
        <v>127</v>
      </c>
      <c r="Q313" t="s">
        <v>128</v>
      </c>
      <c r="R313">
        <v>99999</v>
      </c>
      <c r="S313" t="s">
        <v>30</v>
      </c>
      <c r="T313" t="s">
        <v>35</v>
      </c>
      <c r="U313" t="s">
        <v>80</v>
      </c>
      <c r="V313" t="s">
        <v>81</v>
      </c>
      <c r="W313">
        <v>9.65</v>
      </c>
      <c r="X313">
        <v>14</v>
      </c>
      <c r="Y313">
        <v>135.1</v>
      </c>
      <c r="Z313">
        <v>12.9696</v>
      </c>
    </row>
    <row r="314" spans="1:26" x14ac:dyDescent="0.35">
      <c r="A314">
        <v>1368</v>
      </c>
      <c r="B314">
        <v>42000</v>
      </c>
      <c r="C314">
        <v>27</v>
      </c>
      <c r="D314" t="s">
        <v>26</v>
      </c>
      <c r="E314" t="s">
        <v>27</v>
      </c>
      <c r="F314" t="s">
        <v>28</v>
      </c>
      <c r="G314" t="s">
        <v>29</v>
      </c>
      <c r="H314">
        <v>99999</v>
      </c>
      <c r="I314" t="s">
        <v>30</v>
      </c>
      <c r="J314" t="s">
        <v>31</v>
      </c>
      <c r="K314" t="s">
        <v>32</v>
      </c>
      <c r="L314">
        <v>42002</v>
      </c>
      <c r="M314" t="s">
        <v>33</v>
      </c>
      <c r="N314" t="s">
        <v>34</v>
      </c>
      <c r="O314" t="s">
        <v>27</v>
      </c>
      <c r="P314" t="s">
        <v>28</v>
      </c>
      <c r="Q314" t="s">
        <v>29</v>
      </c>
      <c r="R314">
        <v>99999</v>
      </c>
      <c r="S314" t="s">
        <v>30</v>
      </c>
      <c r="T314" t="s">
        <v>35</v>
      </c>
      <c r="U314" t="s">
        <v>36</v>
      </c>
      <c r="V314" t="s">
        <v>37</v>
      </c>
      <c r="W314">
        <v>14</v>
      </c>
      <c r="X314">
        <v>14</v>
      </c>
      <c r="Y314">
        <v>196</v>
      </c>
      <c r="Z314">
        <v>19.796000000000003</v>
      </c>
    </row>
    <row r="315" spans="1:26" x14ac:dyDescent="0.35">
      <c r="A315">
        <v>1369</v>
      </c>
      <c r="B315">
        <v>42000</v>
      </c>
      <c r="C315">
        <v>27</v>
      </c>
      <c r="D315" t="s">
        <v>26</v>
      </c>
      <c r="E315" t="s">
        <v>27</v>
      </c>
      <c r="F315" t="s">
        <v>28</v>
      </c>
      <c r="G315" t="s">
        <v>29</v>
      </c>
      <c r="H315">
        <v>99999</v>
      </c>
      <c r="I315" t="s">
        <v>30</v>
      </c>
      <c r="J315" t="s">
        <v>31</v>
      </c>
      <c r="K315" t="s">
        <v>32</v>
      </c>
      <c r="L315">
        <v>42002</v>
      </c>
      <c r="M315" t="s">
        <v>33</v>
      </c>
      <c r="N315" t="s">
        <v>34</v>
      </c>
      <c r="O315" t="s">
        <v>27</v>
      </c>
      <c r="P315" t="s">
        <v>28</v>
      </c>
      <c r="Q315" t="s">
        <v>29</v>
      </c>
      <c r="R315">
        <v>99999</v>
      </c>
      <c r="S315" t="s">
        <v>30</v>
      </c>
      <c r="T315" t="s">
        <v>35</v>
      </c>
      <c r="U315" t="s">
        <v>38</v>
      </c>
      <c r="V315" t="s">
        <v>39</v>
      </c>
      <c r="W315">
        <v>3.5</v>
      </c>
      <c r="X315">
        <v>70</v>
      </c>
      <c r="Y315">
        <v>245</v>
      </c>
      <c r="Z315">
        <v>25.234999999999999</v>
      </c>
    </row>
    <row r="316" spans="1:26" x14ac:dyDescent="0.35">
      <c r="A316">
        <v>1370</v>
      </c>
      <c r="B316">
        <v>41977</v>
      </c>
      <c r="C316">
        <v>4</v>
      </c>
      <c r="D316" t="s">
        <v>40</v>
      </c>
      <c r="E316" t="s">
        <v>41</v>
      </c>
      <c r="F316" t="s">
        <v>42</v>
      </c>
      <c r="G316" t="s">
        <v>43</v>
      </c>
      <c r="H316">
        <v>99999</v>
      </c>
      <c r="I316" t="s">
        <v>30</v>
      </c>
      <c r="J316" t="s">
        <v>44</v>
      </c>
      <c r="K316" t="s">
        <v>45</v>
      </c>
      <c r="L316">
        <v>41979</v>
      </c>
      <c r="M316" t="s">
        <v>46</v>
      </c>
      <c r="N316" t="s">
        <v>47</v>
      </c>
      <c r="O316" t="s">
        <v>41</v>
      </c>
      <c r="P316" t="s">
        <v>42</v>
      </c>
      <c r="Q316" t="s">
        <v>43</v>
      </c>
      <c r="R316">
        <v>99999</v>
      </c>
      <c r="S316" t="s">
        <v>30</v>
      </c>
      <c r="T316" t="s">
        <v>48</v>
      </c>
      <c r="U316" t="s">
        <v>49</v>
      </c>
      <c r="V316" t="s">
        <v>39</v>
      </c>
      <c r="W316">
        <v>30</v>
      </c>
      <c r="X316">
        <v>100</v>
      </c>
      <c r="Y316">
        <v>3000</v>
      </c>
      <c r="Z316">
        <v>291</v>
      </c>
    </row>
    <row r="317" spans="1:26" x14ac:dyDescent="0.35">
      <c r="A317">
        <v>1371</v>
      </c>
      <c r="B317">
        <v>41977</v>
      </c>
      <c r="C317">
        <v>4</v>
      </c>
      <c r="D317" t="s">
        <v>40</v>
      </c>
      <c r="E317" t="s">
        <v>41</v>
      </c>
      <c r="F317" t="s">
        <v>42</v>
      </c>
      <c r="G317" t="s">
        <v>43</v>
      </c>
      <c r="H317">
        <v>99999</v>
      </c>
      <c r="I317" t="s">
        <v>30</v>
      </c>
      <c r="J317" t="s">
        <v>44</v>
      </c>
      <c r="K317" t="s">
        <v>45</v>
      </c>
      <c r="L317">
        <v>41979</v>
      </c>
      <c r="M317" t="s">
        <v>46</v>
      </c>
      <c r="N317" t="s">
        <v>47</v>
      </c>
      <c r="O317" t="s">
        <v>41</v>
      </c>
      <c r="P317" t="s">
        <v>42</v>
      </c>
      <c r="Q317" t="s">
        <v>43</v>
      </c>
      <c r="R317">
        <v>99999</v>
      </c>
      <c r="S317" t="s">
        <v>30</v>
      </c>
      <c r="T317" t="s">
        <v>48</v>
      </c>
      <c r="U317" t="s">
        <v>50</v>
      </c>
      <c r="V317" t="s">
        <v>39</v>
      </c>
      <c r="W317">
        <v>53</v>
      </c>
      <c r="X317">
        <v>27</v>
      </c>
      <c r="Y317">
        <v>1431</v>
      </c>
      <c r="Z317">
        <v>143.1</v>
      </c>
    </row>
    <row r="318" spans="1:26" x14ac:dyDescent="0.35">
      <c r="A318">
        <v>1372</v>
      </c>
      <c r="B318">
        <v>41977</v>
      </c>
      <c r="C318">
        <v>4</v>
      </c>
      <c r="D318" t="s">
        <v>40</v>
      </c>
      <c r="E318" t="s">
        <v>41</v>
      </c>
      <c r="F318" t="s">
        <v>42</v>
      </c>
      <c r="G318" t="s">
        <v>43</v>
      </c>
      <c r="H318">
        <v>99999</v>
      </c>
      <c r="I318" t="s">
        <v>30</v>
      </c>
      <c r="J318" t="s">
        <v>44</v>
      </c>
      <c r="K318" t="s">
        <v>45</v>
      </c>
      <c r="L318">
        <v>41979</v>
      </c>
      <c r="M318" t="s">
        <v>46</v>
      </c>
      <c r="N318" t="s">
        <v>47</v>
      </c>
      <c r="O318" t="s">
        <v>41</v>
      </c>
      <c r="P318" t="s">
        <v>42</v>
      </c>
      <c r="Q318" t="s">
        <v>43</v>
      </c>
      <c r="R318">
        <v>99999</v>
      </c>
      <c r="S318" t="s">
        <v>30</v>
      </c>
      <c r="T318" t="s">
        <v>48</v>
      </c>
      <c r="U318" t="s">
        <v>38</v>
      </c>
      <c r="V318" t="s">
        <v>39</v>
      </c>
      <c r="W318">
        <v>3.5</v>
      </c>
      <c r="X318">
        <v>70</v>
      </c>
      <c r="Y318">
        <v>245</v>
      </c>
      <c r="Z318">
        <v>24.009999999999998</v>
      </c>
    </row>
    <row r="319" spans="1:26" x14ac:dyDescent="0.35">
      <c r="A319">
        <v>1373</v>
      </c>
      <c r="B319">
        <v>41985</v>
      </c>
      <c r="C319">
        <v>12</v>
      </c>
      <c r="D319" t="s">
        <v>51</v>
      </c>
      <c r="E319" t="s">
        <v>52</v>
      </c>
      <c r="F319" t="s">
        <v>28</v>
      </c>
      <c r="G319" t="s">
        <v>29</v>
      </c>
      <c r="H319">
        <v>99999</v>
      </c>
      <c r="I319" t="s">
        <v>30</v>
      </c>
      <c r="J319" t="s">
        <v>31</v>
      </c>
      <c r="K319" t="s">
        <v>32</v>
      </c>
      <c r="L319">
        <v>41987</v>
      </c>
      <c r="M319" t="s">
        <v>33</v>
      </c>
      <c r="N319" t="s">
        <v>53</v>
      </c>
      <c r="O319" t="s">
        <v>52</v>
      </c>
      <c r="P319" t="s">
        <v>28</v>
      </c>
      <c r="Q319" t="s">
        <v>29</v>
      </c>
      <c r="R319">
        <v>99999</v>
      </c>
      <c r="S319" t="s">
        <v>30</v>
      </c>
      <c r="T319" t="s">
        <v>48</v>
      </c>
      <c r="U319" t="s">
        <v>54</v>
      </c>
      <c r="V319" t="s">
        <v>37</v>
      </c>
      <c r="W319">
        <v>18</v>
      </c>
      <c r="X319">
        <v>57</v>
      </c>
      <c r="Y319">
        <v>1026</v>
      </c>
      <c r="Z319">
        <v>102.60000000000001</v>
      </c>
    </row>
    <row r="320" spans="1:26" x14ac:dyDescent="0.35">
      <c r="A320">
        <v>1374</v>
      </c>
      <c r="B320">
        <v>41985</v>
      </c>
      <c r="C320">
        <v>12</v>
      </c>
      <c r="D320" t="s">
        <v>51</v>
      </c>
      <c r="E320" t="s">
        <v>52</v>
      </c>
      <c r="F320" t="s">
        <v>28</v>
      </c>
      <c r="G320" t="s">
        <v>29</v>
      </c>
      <c r="H320">
        <v>99999</v>
      </c>
      <c r="I320" t="s">
        <v>30</v>
      </c>
      <c r="J320" t="s">
        <v>31</v>
      </c>
      <c r="K320" t="s">
        <v>32</v>
      </c>
      <c r="L320">
        <v>41987</v>
      </c>
      <c r="M320" t="s">
        <v>33</v>
      </c>
      <c r="N320" t="s">
        <v>53</v>
      </c>
      <c r="O320" t="s">
        <v>52</v>
      </c>
      <c r="P320" t="s">
        <v>28</v>
      </c>
      <c r="Q320" t="s">
        <v>29</v>
      </c>
      <c r="R320">
        <v>99999</v>
      </c>
      <c r="S320" t="s">
        <v>30</v>
      </c>
      <c r="T320" t="s">
        <v>48</v>
      </c>
      <c r="U320" t="s">
        <v>55</v>
      </c>
      <c r="V320" t="s">
        <v>37</v>
      </c>
      <c r="W320">
        <v>46</v>
      </c>
      <c r="X320">
        <v>83</v>
      </c>
      <c r="Y320">
        <v>3818</v>
      </c>
      <c r="Z320">
        <v>374.16399999999999</v>
      </c>
    </row>
    <row r="321" spans="1:26" x14ac:dyDescent="0.35">
      <c r="A321">
        <v>1375</v>
      </c>
      <c r="B321">
        <v>41981</v>
      </c>
      <c r="C321">
        <v>8</v>
      </c>
      <c r="D321" t="s">
        <v>56</v>
      </c>
      <c r="E321" t="s">
        <v>57</v>
      </c>
      <c r="F321" t="s">
        <v>58</v>
      </c>
      <c r="G321" t="s">
        <v>59</v>
      </c>
      <c r="H321">
        <v>99999</v>
      </c>
      <c r="I321" t="s">
        <v>30</v>
      </c>
      <c r="J321" t="s">
        <v>60</v>
      </c>
      <c r="K321" t="s">
        <v>61</v>
      </c>
      <c r="L321">
        <v>41983</v>
      </c>
      <c r="M321" t="s">
        <v>62</v>
      </c>
      <c r="N321" t="s">
        <v>63</v>
      </c>
      <c r="O321" t="s">
        <v>57</v>
      </c>
      <c r="P321" t="s">
        <v>58</v>
      </c>
      <c r="Q321" t="s">
        <v>59</v>
      </c>
      <c r="R321">
        <v>99999</v>
      </c>
      <c r="S321" t="s">
        <v>30</v>
      </c>
      <c r="T321" t="s">
        <v>48</v>
      </c>
      <c r="U321" t="s">
        <v>64</v>
      </c>
      <c r="V321" t="s">
        <v>65</v>
      </c>
      <c r="W321">
        <v>9.1999999999999993</v>
      </c>
      <c r="X321">
        <v>76</v>
      </c>
      <c r="Y321">
        <v>699.19999999999993</v>
      </c>
      <c r="Z321">
        <v>67.123199999999997</v>
      </c>
    </row>
    <row r="322" spans="1:26" x14ac:dyDescent="0.35">
      <c r="A322">
        <v>1376</v>
      </c>
      <c r="B322">
        <v>41977</v>
      </c>
      <c r="C322">
        <v>4</v>
      </c>
      <c r="D322" t="s">
        <v>40</v>
      </c>
      <c r="E322" t="s">
        <v>41</v>
      </c>
      <c r="F322" t="s">
        <v>42</v>
      </c>
      <c r="G322" t="s">
        <v>43</v>
      </c>
      <c r="H322">
        <v>99999</v>
      </c>
      <c r="I322" t="s">
        <v>30</v>
      </c>
      <c r="J322" t="s">
        <v>44</v>
      </c>
      <c r="K322" t="s">
        <v>45</v>
      </c>
      <c r="L322">
        <v>41979</v>
      </c>
      <c r="M322" t="s">
        <v>62</v>
      </c>
      <c r="N322" t="s">
        <v>47</v>
      </c>
      <c r="O322" t="s">
        <v>41</v>
      </c>
      <c r="P322" t="s">
        <v>42</v>
      </c>
      <c r="Q322" t="s">
        <v>43</v>
      </c>
      <c r="R322">
        <v>99999</v>
      </c>
      <c r="S322" t="s">
        <v>30</v>
      </c>
      <c r="T322" t="s">
        <v>35</v>
      </c>
      <c r="U322" t="s">
        <v>64</v>
      </c>
      <c r="V322" t="s">
        <v>65</v>
      </c>
      <c r="W322">
        <v>9.1999999999999993</v>
      </c>
      <c r="X322">
        <v>80</v>
      </c>
      <c r="Y322">
        <v>736</v>
      </c>
      <c r="Z322">
        <v>72.864000000000004</v>
      </c>
    </row>
    <row r="323" spans="1:26" x14ac:dyDescent="0.35">
      <c r="A323">
        <v>1377</v>
      </c>
      <c r="B323">
        <v>42002</v>
      </c>
      <c r="C323">
        <v>29</v>
      </c>
      <c r="D323" t="s">
        <v>66</v>
      </c>
      <c r="E323" t="s">
        <v>67</v>
      </c>
      <c r="F323" t="s">
        <v>68</v>
      </c>
      <c r="G323" t="s">
        <v>69</v>
      </c>
      <c r="H323">
        <v>99999</v>
      </c>
      <c r="I323" t="s">
        <v>30</v>
      </c>
      <c r="J323" t="s">
        <v>70</v>
      </c>
      <c r="K323" t="s">
        <v>32</v>
      </c>
      <c r="L323">
        <v>42004</v>
      </c>
      <c r="M323" t="s">
        <v>33</v>
      </c>
      <c r="N323" t="s">
        <v>71</v>
      </c>
      <c r="O323" t="s">
        <v>67</v>
      </c>
      <c r="P323" t="s">
        <v>68</v>
      </c>
      <c r="Q323" t="s">
        <v>69</v>
      </c>
      <c r="R323">
        <v>99999</v>
      </c>
      <c r="S323" t="s">
        <v>30</v>
      </c>
      <c r="T323" t="s">
        <v>35</v>
      </c>
      <c r="U323" t="s">
        <v>72</v>
      </c>
      <c r="V323" t="s">
        <v>73</v>
      </c>
      <c r="W323">
        <v>12.75</v>
      </c>
      <c r="X323">
        <v>47</v>
      </c>
      <c r="Y323">
        <v>599.25</v>
      </c>
      <c r="Z323">
        <v>59.325750000000006</v>
      </c>
    </row>
    <row r="324" spans="1:26" x14ac:dyDescent="0.35">
      <c r="A324">
        <v>1378</v>
      </c>
      <c r="B324">
        <v>41976</v>
      </c>
      <c r="C324">
        <v>3</v>
      </c>
      <c r="D324" t="s">
        <v>74</v>
      </c>
      <c r="E324" t="s">
        <v>75</v>
      </c>
      <c r="F324" t="s">
        <v>76</v>
      </c>
      <c r="G324" t="s">
        <v>77</v>
      </c>
      <c r="H324">
        <v>99999</v>
      </c>
      <c r="I324" t="s">
        <v>30</v>
      </c>
      <c r="J324" t="s">
        <v>31</v>
      </c>
      <c r="K324" t="s">
        <v>32</v>
      </c>
      <c r="L324">
        <v>41978</v>
      </c>
      <c r="M324" t="s">
        <v>33</v>
      </c>
      <c r="N324" t="s">
        <v>78</v>
      </c>
      <c r="O324" t="s">
        <v>75</v>
      </c>
      <c r="P324" t="s">
        <v>76</v>
      </c>
      <c r="Q324" t="s">
        <v>77</v>
      </c>
      <c r="R324">
        <v>99999</v>
      </c>
      <c r="S324" t="s">
        <v>30</v>
      </c>
      <c r="T324" t="s">
        <v>79</v>
      </c>
      <c r="U324" t="s">
        <v>80</v>
      </c>
      <c r="V324" t="s">
        <v>81</v>
      </c>
      <c r="W324">
        <v>9.65</v>
      </c>
      <c r="X324">
        <v>96</v>
      </c>
      <c r="Y324">
        <v>926.40000000000009</v>
      </c>
      <c r="Z324">
        <v>94.492800000000017</v>
      </c>
    </row>
    <row r="325" spans="1:26" x14ac:dyDescent="0.35">
      <c r="A325">
        <v>1379</v>
      </c>
      <c r="B325">
        <v>41979</v>
      </c>
      <c r="C325">
        <v>6</v>
      </c>
      <c r="D325" t="s">
        <v>82</v>
      </c>
      <c r="E325" t="s">
        <v>83</v>
      </c>
      <c r="F325" t="s">
        <v>84</v>
      </c>
      <c r="G325" t="s">
        <v>85</v>
      </c>
      <c r="H325">
        <v>99999</v>
      </c>
      <c r="I325" t="s">
        <v>30</v>
      </c>
      <c r="J325" t="s">
        <v>86</v>
      </c>
      <c r="K325" t="s">
        <v>61</v>
      </c>
      <c r="L325">
        <v>41981</v>
      </c>
      <c r="M325" t="s">
        <v>33</v>
      </c>
      <c r="N325" t="s">
        <v>87</v>
      </c>
      <c r="O325" t="s">
        <v>83</v>
      </c>
      <c r="P325" t="s">
        <v>84</v>
      </c>
      <c r="Q325" t="s">
        <v>85</v>
      </c>
      <c r="R325">
        <v>99999</v>
      </c>
      <c r="S325" t="s">
        <v>30</v>
      </c>
      <c r="T325" t="s">
        <v>48</v>
      </c>
      <c r="U325" t="s">
        <v>88</v>
      </c>
      <c r="V325" t="s">
        <v>89</v>
      </c>
      <c r="W325">
        <v>40</v>
      </c>
      <c r="X325">
        <v>32</v>
      </c>
      <c r="Y325">
        <v>1280</v>
      </c>
      <c r="Z325">
        <v>134.4</v>
      </c>
    </row>
    <row r="326" spans="1:26" x14ac:dyDescent="0.35">
      <c r="A326">
        <v>1380</v>
      </c>
      <c r="B326">
        <v>42001</v>
      </c>
      <c r="C326">
        <v>28</v>
      </c>
      <c r="D326" t="s">
        <v>90</v>
      </c>
      <c r="E326" t="s">
        <v>91</v>
      </c>
      <c r="F326" t="s">
        <v>92</v>
      </c>
      <c r="G326" t="s">
        <v>93</v>
      </c>
      <c r="H326">
        <v>99999</v>
      </c>
      <c r="I326" t="s">
        <v>30</v>
      </c>
      <c r="J326" t="s">
        <v>94</v>
      </c>
      <c r="K326" t="s">
        <v>95</v>
      </c>
      <c r="L326">
        <v>42003</v>
      </c>
      <c r="M326" t="s">
        <v>62</v>
      </c>
      <c r="N326" t="s">
        <v>96</v>
      </c>
      <c r="O326" t="s">
        <v>91</v>
      </c>
      <c r="P326" t="s">
        <v>92</v>
      </c>
      <c r="Q326" t="s">
        <v>93</v>
      </c>
      <c r="R326">
        <v>99999</v>
      </c>
      <c r="S326" t="s">
        <v>30</v>
      </c>
      <c r="T326" t="s">
        <v>35</v>
      </c>
      <c r="U326" t="s">
        <v>55</v>
      </c>
      <c r="V326" t="s">
        <v>37</v>
      </c>
      <c r="W326">
        <v>46</v>
      </c>
      <c r="X326">
        <v>16</v>
      </c>
      <c r="Y326">
        <v>736</v>
      </c>
      <c r="Z326">
        <v>73.600000000000009</v>
      </c>
    </row>
    <row r="327" spans="1:26" x14ac:dyDescent="0.35">
      <c r="A327">
        <v>1381</v>
      </c>
      <c r="B327">
        <v>41981</v>
      </c>
      <c r="C327">
        <v>8</v>
      </c>
      <c r="D327" t="s">
        <v>56</v>
      </c>
      <c r="E327" t="s">
        <v>57</v>
      </c>
      <c r="F327" t="s">
        <v>58</v>
      </c>
      <c r="G327" t="s">
        <v>59</v>
      </c>
      <c r="H327">
        <v>99999</v>
      </c>
      <c r="I327" t="s">
        <v>30</v>
      </c>
      <c r="J327" t="s">
        <v>60</v>
      </c>
      <c r="K327" t="s">
        <v>61</v>
      </c>
      <c r="L327">
        <v>41983</v>
      </c>
      <c r="M327" t="s">
        <v>62</v>
      </c>
      <c r="N327" t="s">
        <v>63</v>
      </c>
      <c r="O327" t="s">
        <v>57</v>
      </c>
      <c r="P327" t="s">
        <v>58</v>
      </c>
      <c r="Q327" t="s">
        <v>59</v>
      </c>
      <c r="R327">
        <v>99999</v>
      </c>
      <c r="S327" t="s">
        <v>30</v>
      </c>
      <c r="T327" t="s">
        <v>35</v>
      </c>
      <c r="U327" t="s">
        <v>72</v>
      </c>
      <c r="V327" t="s">
        <v>73</v>
      </c>
      <c r="W327">
        <v>12.75</v>
      </c>
      <c r="X327">
        <v>41</v>
      </c>
      <c r="Y327">
        <v>522.75</v>
      </c>
      <c r="Z327">
        <v>51.229500000000002</v>
      </c>
    </row>
    <row r="328" spans="1:26" x14ac:dyDescent="0.35">
      <c r="A328">
        <v>1382</v>
      </c>
      <c r="B328">
        <v>41983</v>
      </c>
      <c r="C328">
        <v>10</v>
      </c>
      <c r="D328" t="s">
        <v>97</v>
      </c>
      <c r="E328" t="s">
        <v>98</v>
      </c>
      <c r="F328" t="s">
        <v>99</v>
      </c>
      <c r="G328" t="s">
        <v>100</v>
      </c>
      <c r="H328">
        <v>99999</v>
      </c>
      <c r="I328" t="s">
        <v>30</v>
      </c>
      <c r="J328" t="s">
        <v>101</v>
      </c>
      <c r="K328" t="s">
        <v>45</v>
      </c>
      <c r="L328">
        <v>41985</v>
      </c>
      <c r="M328" t="s">
        <v>33</v>
      </c>
      <c r="N328" t="s">
        <v>102</v>
      </c>
      <c r="O328" t="s">
        <v>98</v>
      </c>
      <c r="P328" t="s">
        <v>99</v>
      </c>
      <c r="Q328" t="s">
        <v>100</v>
      </c>
      <c r="R328">
        <v>99999</v>
      </c>
      <c r="S328" t="s">
        <v>30</v>
      </c>
      <c r="T328" t="s">
        <v>48</v>
      </c>
      <c r="U328" t="s">
        <v>103</v>
      </c>
      <c r="V328" t="s">
        <v>37</v>
      </c>
      <c r="W328">
        <v>2.99</v>
      </c>
      <c r="X328">
        <v>41</v>
      </c>
      <c r="Y328">
        <v>122.59</v>
      </c>
      <c r="Z328">
        <v>12.871950000000002</v>
      </c>
    </row>
    <row r="329" spans="1:26" x14ac:dyDescent="0.35">
      <c r="A329">
        <v>1383</v>
      </c>
      <c r="B329">
        <v>41980</v>
      </c>
      <c r="C329">
        <v>7</v>
      </c>
      <c r="D329" t="s">
        <v>104</v>
      </c>
      <c r="E329" t="s">
        <v>105</v>
      </c>
      <c r="F329" t="s">
        <v>106</v>
      </c>
      <c r="G329" t="s">
        <v>107</v>
      </c>
      <c r="H329">
        <v>99999</v>
      </c>
      <c r="I329" t="s">
        <v>30</v>
      </c>
      <c r="J329" t="s">
        <v>60</v>
      </c>
      <c r="K329" t="s">
        <v>61</v>
      </c>
      <c r="N329" t="s">
        <v>108</v>
      </c>
      <c r="O329" t="s">
        <v>105</v>
      </c>
      <c r="P329" t="s">
        <v>106</v>
      </c>
      <c r="Q329" t="s">
        <v>107</v>
      </c>
      <c r="R329">
        <v>99999</v>
      </c>
      <c r="S329" t="s">
        <v>30</v>
      </c>
      <c r="U329" t="s">
        <v>55</v>
      </c>
      <c r="V329" t="s">
        <v>37</v>
      </c>
      <c r="W329">
        <v>46</v>
      </c>
      <c r="X329">
        <v>41</v>
      </c>
      <c r="Y329">
        <v>1886</v>
      </c>
      <c r="Z329">
        <v>194.25800000000004</v>
      </c>
    </row>
    <row r="330" spans="1:26" x14ac:dyDescent="0.35">
      <c r="A330">
        <v>1384</v>
      </c>
      <c r="B330">
        <v>41983</v>
      </c>
      <c r="C330">
        <v>10</v>
      </c>
      <c r="D330" t="s">
        <v>97</v>
      </c>
      <c r="E330" t="s">
        <v>98</v>
      </c>
      <c r="F330" t="s">
        <v>99</v>
      </c>
      <c r="G330" t="s">
        <v>100</v>
      </c>
      <c r="H330">
        <v>99999</v>
      </c>
      <c r="I330" t="s">
        <v>30</v>
      </c>
      <c r="J330" t="s">
        <v>101</v>
      </c>
      <c r="K330" t="s">
        <v>45</v>
      </c>
      <c r="L330">
        <v>41985</v>
      </c>
      <c r="M330" t="s">
        <v>46</v>
      </c>
      <c r="N330" t="s">
        <v>102</v>
      </c>
      <c r="O330" t="s">
        <v>98</v>
      </c>
      <c r="P330" t="s">
        <v>99</v>
      </c>
      <c r="Q330" t="s">
        <v>100</v>
      </c>
      <c r="R330">
        <v>99999</v>
      </c>
      <c r="S330" t="s">
        <v>30</v>
      </c>
      <c r="U330" t="s">
        <v>109</v>
      </c>
      <c r="V330" t="s">
        <v>110</v>
      </c>
      <c r="W330">
        <v>25</v>
      </c>
      <c r="X330">
        <v>94</v>
      </c>
      <c r="Y330">
        <v>2350</v>
      </c>
      <c r="Z330">
        <v>235</v>
      </c>
    </row>
    <row r="331" spans="1:26" x14ac:dyDescent="0.35">
      <c r="A331">
        <v>1385</v>
      </c>
      <c r="B331">
        <v>41983</v>
      </c>
      <c r="C331">
        <v>10</v>
      </c>
      <c r="D331" t="s">
        <v>97</v>
      </c>
      <c r="E331" t="s">
        <v>98</v>
      </c>
      <c r="F331" t="s">
        <v>99</v>
      </c>
      <c r="G331" t="s">
        <v>100</v>
      </c>
      <c r="H331">
        <v>99999</v>
      </c>
      <c r="I331" t="s">
        <v>30</v>
      </c>
      <c r="J331" t="s">
        <v>101</v>
      </c>
      <c r="K331" t="s">
        <v>45</v>
      </c>
      <c r="L331">
        <v>41985</v>
      </c>
      <c r="M331" t="s">
        <v>46</v>
      </c>
      <c r="N331" t="s">
        <v>102</v>
      </c>
      <c r="O331" t="s">
        <v>98</v>
      </c>
      <c r="P331" t="s">
        <v>99</v>
      </c>
      <c r="Q331" t="s">
        <v>100</v>
      </c>
      <c r="R331">
        <v>99999</v>
      </c>
      <c r="S331" t="s">
        <v>30</v>
      </c>
      <c r="U331" t="s">
        <v>111</v>
      </c>
      <c r="V331" t="s">
        <v>112</v>
      </c>
      <c r="W331">
        <v>22</v>
      </c>
      <c r="X331">
        <v>20</v>
      </c>
      <c r="Y331">
        <v>440</v>
      </c>
      <c r="Z331">
        <v>46.2</v>
      </c>
    </row>
    <row r="332" spans="1:26" x14ac:dyDescent="0.35">
      <c r="A332">
        <v>1386</v>
      </c>
      <c r="B332">
        <v>41983</v>
      </c>
      <c r="C332">
        <v>10</v>
      </c>
      <c r="D332" t="s">
        <v>97</v>
      </c>
      <c r="E332" t="s">
        <v>98</v>
      </c>
      <c r="F332" t="s">
        <v>99</v>
      </c>
      <c r="G332" t="s">
        <v>100</v>
      </c>
      <c r="H332">
        <v>99999</v>
      </c>
      <c r="I332" t="s">
        <v>30</v>
      </c>
      <c r="J332" t="s">
        <v>101</v>
      </c>
      <c r="K332" t="s">
        <v>45</v>
      </c>
      <c r="L332">
        <v>41985</v>
      </c>
      <c r="M332" t="s">
        <v>46</v>
      </c>
      <c r="N332" t="s">
        <v>102</v>
      </c>
      <c r="O332" t="s">
        <v>98</v>
      </c>
      <c r="P332" t="s">
        <v>99</v>
      </c>
      <c r="Q332" t="s">
        <v>100</v>
      </c>
      <c r="R332">
        <v>99999</v>
      </c>
      <c r="S332" t="s">
        <v>30</v>
      </c>
      <c r="U332" t="s">
        <v>64</v>
      </c>
      <c r="V332" t="s">
        <v>65</v>
      </c>
      <c r="W332">
        <v>9.1999999999999993</v>
      </c>
      <c r="X332">
        <v>13</v>
      </c>
      <c r="Y332">
        <v>119.6</v>
      </c>
      <c r="Z332">
        <v>12.438400000000001</v>
      </c>
    </row>
    <row r="333" spans="1:26" x14ac:dyDescent="0.35">
      <c r="A333">
        <v>1387</v>
      </c>
      <c r="B333">
        <v>41984</v>
      </c>
      <c r="C333">
        <v>11</v>
      </c>
      <c r="D333" t="s">
        <v>113</v>
      </c>
      <c r="E333" t="s">
        <v>114</v>
      </c>
      <c r="F333" t="s">
        <v>115</v>
      </c>
      <c r="G333" t="s">
        <v>116</v>
      </c>
      <c r="H333">
        <v>99999</v>
      </c>
      <c r="I333" t="s">
        <v>30</v>
      </c>
      <c r="J333" t="s">
        <v>94</v>
      </c>
      <c r="K333" t="s">
        <v>95</v>
      </c>
      <c r="M333" t="s">
        <v>62</v>
      </c>
      <c r="N333" t="s">
        <v>117</v>
      </c>
      <c r="O333" t="s">
        <v>114</v>
      </c>
      <c r="P333" t="s">
        <v>115</v>
      </c>
      <c r="Q333" t="s">
        <v>116</v>
      </c>
      <c r="R333">
        <v>99999</v>
      </c>
      <c r="S333" t="s">
        <v>30</v>
      </c>
      <c r="U333" t="s">
        <v>38</v>
      </c>
      <c r="V333" t="s">
        <v>39</v>
      </c>
      <c r="W333">
        <v>3.5</v>
      </c>
      <c r="X333">
        <v>74</v>
      </c>
      <c r="Y333">
        <v>259</v>
      </c>
      <c r="Z333">
        <v>26.936000000000003</v>
      </c>
    </row>
    <row r="334" spans="1:26" x14ac:dyDescent="0.35">
      <c r="A334">
        <v>1388</v>
      </c>
      <c r="B334">
        <v>41984</v>
      </c>
      <c r="C334">
        <v>11</v>
      </c>
      <c r="D334" t="s">
        <v>113</v>
      </c>
      <c r="E334" t="s">
        <v>114</v>
      </c>
      <c r="F334" t="s">
        <v>115</v>
      </c>
      <c r="G334" t="s">
        <v>116</v>
      </c>
      <c r="H334">
        <v>99999</v>
      </c>
      <c r="I334" t="s">
        <v>30</v>
      </c>
      <c r="J334" t="s">
        <v>94</v>
      </c>
      <c r="K334" t="s">
        <v>95</v>
      </c>
      <c r="M334" t="s">
        <v>62</v>
      </c>
      <c r="N334" t="s">
        <v>117</v>
      </c>
      <c r="O334" t="s">
        <v>114</v>
      </c>
      <c r="P334" t="s">
        <v>115</v>
      </c>
      <c r="Q334" t="s">
        <v>116</v>
      </c>
      <c r="R334">
        <v>99999</v>
      </c>
      <c r="S334" t="s">
        <v>30</v>
      </c>
      <c r="U334" t="s">
        <v>103</v>
      </c>
      <c r="V334" t="s">
        <v>37</v>
      </c>
      <c r="W334">
        <v>2.99</v>
      </c>
      <c r="X334">
        <v>53</v>
      </c>
      <c r="Y334">
        <v>158.47</v>
      </c>
      <c r="Z334">
        <v>16.005470000000003</v>
      </c>
    </row>
    <row r="335" spans="1:26" x14ac:dyDescent="0.35">
      <c r="A335">
        <v>1389</v>
      </c>
      <c r="B335">
        <v>41974</v>
      </c>
      <c r="C335">
        <v>1</v>
      </c>
      <c r="D335" t="s">
        <v>118</v>
      </c>
      <c r="E335" t="s">
        <v>119</v>
      </c>
      <c r="F335" t="s">
        <v>120</v>
      </c>
      <c r="G335" t="s">
        <v>121</v>
      </c>
      <c r="H335">
        <v>99999</v>
      </c>
      <c r="I335" t="s">
        <v>30</v>
      </c>
      <c r="J335" t="s">
        <v>60</v>
      </c>
      <c r="K335" t="s">
        <v>61</v>
      </c>
      <c r="N335" t="s">
        <v>122</v>
      </c>
      <c r="O335" t="s">
        <v>119</v>
      </c>
      <c r="P335" t="s">
        <v>120</v>
      </c>
      <c r="Q335" t="s">
        <v>121</v>
      </c>
      <c r="R335">
        <v>99999</v>
      </c>
      <c r="S335" t="s">
        <v>30</v>
      </c>
      <c r="U335" t="s">
        <v>54</v>
      </c>
      <c r="V335" t="s">
        <v>37</v>
      </c>
      <c r="W335">
        <v>18</v>
      </c>
      <c r="X335">
        <v>99</v>
      </c>
      <c r="Y335">
        <v>1782</v>
      </c>
      <c r="Z335">
        <v>174.63600000000002</v>
      </c>
    </row>
    <row r="336" spans="1:26" x14ac:dyDescent="0.35">
      <c r="A336">
        <v>1390</v>
      </c>
      <c r="B336">
        <v>41974</v>
      </c>
      <c r="C336">
        <v>1</v>
      </c>
      <c r="D336" t="s">
        <v>118</v>
      </c>
      <c r="E336" t="s">
        <v>119</v>
      </c>
      <c r="F336" t="s">
        <v>120</v>
      </c>
      <c r="G336" t="s">
        <v>121</v>
      </c>
      <c r="H336">
        <v>99999</v>
      </c>
      <c r="I336" t="s">
        <v>30</v>
      </c>
      <c r="J336" t="s">
        <v>60</v>
      </c>
      <c r="K336" t="s">
        <v>61</v>
      </c>
      <c r="N336" t="s">
        <v>122</v>
      </c>
      <c r="O336" t="s">
        <v>119</v>
      </c>
      <c r="P336" t="s">
        <v>120</v>
      </c>
      <c r="Q336" t="s">
        <v>121</v>
      </c>
      <c r="R336">
        <v>99999</v>
      </c>
      <c r="S336" t="s">
        <v>30</v>
      </c>
      <c r="U336" t="s">
        <v>55</v>
      </c>
      <c r="V336" t="s">
        <v>37</v>
      </c>
      <c r="W336">
        <v>46</v>
      </c>
      <c r="X336">
        <v>89</v>
      </c>
      <c r="Y336">
        <v>4094</v>
      </c>
      <c r="Z336">
        <v>388.93</v>
      </c>
    </row>
    <row r="337" spans="1:26" x14ac:dyDescent="0.35">
      <c r="A337">
        <v>1391</v>
      </c>
      <c r="B337">
        <v>41974</v>
      </c>
      <c r="C337">
        <v>1</v>
      </c>
      <c r="D337" t="s">
        <v>118</v>
      </c>
      <c r="E337" t="s">
        <v>119</v>
      </c>
      <c r="F337" t="s">
        <v>120</v>
      </c>
      <c r="G337" t="s">
        <v>121</v>
      </c>
      <c r="H337">
        <v>99999</v>
      </c>
      <c r="I337" t="s">
        <v>30</v>
      </c>
      <c r="J337" t="s">
        <v>60</v>
      </c>
      <c r="K337" t="s">
        <v>61</v>
      </c>
      <c r="N337" t="s">
        <v>122</v>
      </c>
      <c r="O337" t="s">
        <v>119</v>
      </c>
      <c r="P337" t="s">
        <v>120</v>
      </c>
      <c r="Q337" t="s">
        <v>121</v>
      </c>
      <c r="R337">
        <v>99999</v>
      </c>
      <c r="S337" t="s">
        <v>30</v>
      </c>
      <c r="U337" t="s">
        <v>103</v>
      </c>
      <c r="V337" t="s">
        <v>37</v>
      </c>
      <c r="W337">
        <v>2.99</v>
      </c>
      <c r="X337">
        <v>64</v>
      </c>
      <c r="Y337">
        <v>191.36</v>
      </c>
      <c r="Z337">
        <v>19.518720000000002</v>
      </c>
    </row>
    <row r="338" spans="1:26" x14ac:dyDescent="0.35">
      <c r="A338">
        <v>1392</v>
      </c>
      <c r="B338">
        <v>42001</v>
      </c>
      <c r="C338">
        <v>28</v>
      </c>
      <c r="D338" t="s">
        <v>90</v>
      </c>
      <c r="E338" t="s">
        <v>91</v>
      </c>
      <c r="F338" t="s">
        <v>92</v>
      </c>
      <c r="G338" t="s">
        <v>93</v>
      </c>
      <c r="H338">
        <v>99999</v>
      </c>
      <c r="I338" t="s">
        <v>30</v>
      </c>
      <c r="J338" t="s">
        <v>94</v>
      </c>
      <c r="K338" t="s">
        <v>95</v>
      </c>
      <c r="L338">
        <v>42003</v>
      </c>
      <c r="M338" t="s">
        <v>62</v>
      </c>
      <c r="N338" t="s">
        <v>96</v>
      </c>
      <c r="O338" t="s">
        <v>91</v>
      </c>
      <c r="P338" t="s">
        <v>92</v>
      </c>
      <c r="Q338" t="s">
        <v>93</v>
      </c>
      <c r="R338">
        <v>99999</v>
      </c>
      <c r="S338" t="s">
        <v>30</v>
      </c>
      <c r="T338" t="s">
        <v>48</v>
      </c>
      <c r="U338" t="s">
        <v>80</v>
      </c>
      <c r="V338" t="s">
        <v>81</v>
      </c>
      <c r="W338">
        <v>9.65</v>
      </c>
      <c r="X338">
        <v>98</v>
      </c>
      <c r="Y338">
        <v>945.7</v>
      </c>
      <c r="Z338">
        <v>96.461400000000012</v>
      </c>
    </row>
    <row r="339" spans="1:26" x14ac:dyDescent="0.35">
      <c r="A339">
        <v>1393</v>
      </c>
      <c r="B339">
        <v>42001</v>
      </c>
      <c r="C339">
        <v>28</v>
      </c>
      <c r="D339" t="s">
        <v>90</v>
      </c>
      <c r="E339" t="s">
        <v>91</v>
      </c>
      <c r="F339" t="s">
        <v>92</v>
      </c>
      <c r="G339" t="s">
        <v>93</v>
      </c>
      <c r="H339">
        <v>99999</v>
      </c>
      <c r="I339" t="s">
        <v>30</v>
      </c>
      <c r="J339" t="s">
        <v>94</v>
      </c>
      <c r="K339" t="s">
        <v>95</v>
      </c>
      <c r="L339">
        <v>42003</v>
      </c>
      <c r="M339" t="s">
        <v>62</v>
      </c>
      <c r="N339" t="s">
        <v>96</v>
      </c>
      <c r="O339" t="s">
        <v>91</v>
      </c>
      <c r="P339" t="s">
        <v>92</v>
      </c>
      <c r="Q339" t="s">
        <v>93</v>
      </c>
      <c r="R339">
        <v>99999</v>
      </c>
      <c r="S339" t="s">
        <v>30</v>
      </c>
      <c r="T339" t="s">
        <v>48</v>
      </c>
      <c r="U339" t="s">
        <v>123</v>
      </c>
      <c r="V339" t="s">
        <v>124</v>
      </c>
      <c r="W339">
        <v>18.399999999999999</v>
      </c>
      <c r="X339">
        <v>86</v>
      </c>
      <c r="Y339">
        <v>1582.3999999999999</v>
      </c>
      <c r="Z339">
        <v>155.0752</v>
      </c>
    </row>
    <row r="340" spans="1:26" x14ac:dyDescent="0.35">
      <c r="A340">
        <v>1394</v>
      </c>
      <c r="B340">
        <v>41982</v>
      </c>
      <c r="C340">
        <v>9</v>
      </c>
      <c r="D340" t="s">
        <v>125</v>
      </c>
      <c r="E340" t="s">
        <v>126</v>
      </c>
      <c r="F340" t="s">
        <v>127</v>
      </c>
      <c r="G340" t="s">
        <v>128</v>
      </c>
      <c r="H340">
        <v>99999</v>
      </c>
      <c r="I340" t="s">
        <v>30</v>
      </c>
      <c r="J340" t="s">
        <v>129</v>
      </c>
      <c r="K340" t="s">
        <v>32</v>
      </c>
      <c r="L340">
        <v>41984</v>
      </c>
      <c r="M340" t="s">
        <v>46</v>
      </c>
      <c r="N340" t="s">
        <v>130</v>
      </c>
      <c r="O340" t="s">
        <v>126</v>
      </c>
      <c r="P340" t="s">
        <v>127</v>
      </c>
      <c r="Q340" t="s">
        <v>128</v>
      </c>
      <c r="R340">
        <v>99999</v>
      </c>
      <c r="S340" t="s">
        <v>30</v>
      </c>
      <c r="T340" t="s">
        <v>35</v>
      </c>
      <c r="U340" t="s">
        <v>131</v>
      </c>
      <c r="V340" t="s">
        <v>132</v>
      </c>
      <c r="W340">
        <v>19.5</v>
      </c>
      <c r="X340">
        <v>20</v>
      </c>
      <c r="Y340">
        <v>390</v>
      </c>
      <c r="Z340">
        <v>40.950000000000003</v>
      </c>
    </row>
    <row r="341" spans="1:26" x14ac:dyDescent="0.35">
      <c r="A341">
        <v>1395</v>
      </c>
      <c r="B341">
        <v>41982</v>
      </c>
      <c r="C341">
        <v>9</v>
      </c>
      <c r="D341" t="s">
        <v>125</v>
      </c>
      <c r="E341" t="s">
        <v>126</v>
      </c>
      <c r="F341" t="s">
        <v>127</v>
      </c>
      <c r="G341" t="s">
        <v>128</v>
      </c>
      <c r="H341">
        <v>99999</v>
      </c>
      <c r="I341" t="s">
        <v>30</v>
      </c>
      <c r="J341" t="s">
        <v>129</v>
      </c>
      <c r="K341" t="s">
        <v>32</v>
      </c>
      <c r="L341">
        <v>41984</v>
      </c>
      <c r="M341" t="s">
        <v>46</v>
      </c>
      <c r="N341" t="s">
        <v>130</v>
      </c>
      <c r="O341" t="s">
        <v>126</v>
      </c>
      <c r="P341" t="s">
        <v>127</v>
      </c>
      <c r="Q341" t="s">
        <v>128</v>
      </c>
      <c r="R341">
        <v>99999</v>
      </c>
      <c r="S341" t="s">
        <v>30</v>
      </c>
      <c r="T341" t="s">
        <v>35</v>
      </c>
      <c r="U341" t="s">
        <v>133</v>
      </c>
      <c r="V341" t="s">
        <v>134</v>
      </c>
      <c r="W341">
        <v>34.799999999999997</v>
      </c>
      <c r="X341">
        <v>69</v>
      </c>
      <c r="Y341">
        <v>2401.1999999999998</v>
      </c>
      <c r="Z341">
        <v>240.12</v>
      </c>
    </row>
    <row r="342" spans="1:26" x14ac:dyDescent="0.35">
      <c r="A342">
        <v>1396</v>
      </c>
      <c r="B342">
        <v>41979</v>
      </c>
      <c r="C342">
        <v>6</v>
      </c>
      <c r="D342" t="s">
        <v>82</v>
      </c>
      <c r="E342" t="s">
        <v>83</v>
      </c>
      <c r="F342" t="s">
        <v>84</v>
      </c>
      <c r="G342" t="s">
        <v>85</v>
      </c>
      <c r="H342">
        <v>99999</v>
      </c>
      <c r="I342" t="s">
        <v>30</v>
      </c>
      <c r="J342" t="s">
        <v>86</v>
      </c>
      <c r="K342" t="s">
        <v>61</v>
      </c>
      <c r="L342">
        <v>41981</v>
      </c>
      <c r="M342" t="s">
        <v>33</v>
      </c>
      <c r="N342" t="s">
        <v>87</v>
      </c>
      <c r="O342" t="s">
        <v>83</v>
      </c>
      <c r="P342" t="s">
        <v>84</v>
      </c>
      <c r="Q342" t="s">
        <v>85</v>
      </c>
      <c r="R342">
        <v>99999</v>
      </c>
      <c r="S342" t="s">
        <v>30</v>
      </c>
      <c r="T342" t="s">
        <v>48</v>
      </c>
      <c r="U342" t="s">
        <v>36</v>
      </c>
      <c r="V342" t="s">
        <v>37</v>
      </c>
      <c r="W342">
        <v>14</v>
      </c>
      <c r="X342">
        <v>68</v>
      </c>
      <c r="Y342">
        <v>952</v>
      </c>
      <c r="Z342">
        <v>91.391999999999996</v>
      </c>
    </row>
    <row r="343" spans="1:26" x14ac:dyDescent="0.35">
      <c r="A343">
        <v>1397</v>
      </c>
      <c r="B343">
        <v>41981</v>
      </c>
      <c r="C343">
        <v>8</v>
      </c>
      <c r="D343" t="s">
        <v>56</v>
      </c>
      <c r="E343" t="s">
        <v>57</v>
      </c>
      <c r="F343" t="s">
        <v>58</v>
      </c>
      <c r="G343" t="s">
        <v>59</v>
      </c>
      <c r="H343">
        <v>99999</v>
      </c>
      <c r="I343" t="s">
        <v>30</v>
      </c>
      <c r="J343" t="s">
        <v>60</v>
      </c>
      <c r="K343" t="s">
        <v>61</v>
      </c>
      <c r="L343">
        <v>41983</v>
      </c>
      <c r="M343" t="s">
        <v>33</v>
      </c>
      <c r="N343" t="s">
        <v>63</v>
      </c>
      <c r="O343" t="s">
        <v>57</v>
      </c>
      <c r="P343" t="s">
        <v>58</v>
      </c>
      <c r="Q343" t="s">
        <v>59</v>
      </c>
      <c r="R343">
        <v>99999</v>
      </c>
      <c r="S343" t="s">
        <v>30</v>
      </c>
      <c r="T343" t="s">
        <v>35</v>
      </c>
      <c r="U343" t="s">
        <v>88</v>
      </c>
      <c r="V343" t="s">
        <v>89</v>
      </c>
      <c r="W343">
        <v>40</v>
      </c>
      <c r="X343">
        <v>52</v>
      </c>
      <c r="Y343">
        <v>2080</v>
      </c>
      <c r="Z343">
        <v>203.84</v>
      </c>
    </row>
    <row r="344" spans="1:26" x14ac:dyDescent="0.35">
      <c r="A344">
        <v>1398</v>
      </c>
      <c r="B344">
        <v>41981</v>
      </c>
      <c r="C344">
        <v>8</v>
      </c>
      <c r="D344" t="s">
        <v>56</v>
      </c>
      <c r="E344" t="s">
        <v>57</v>
      </c>
      <c r="F344" t="s">
        <v>58</v>
      </c>
      <c r="G344" t="s">
        <v>59</v>
      </c>
      <c r="H344">
        <v>99999</v>
      </c>
      <c r="I344" t="s">
        <v>30</v>
      </c>
      <c r="J344" t="s">
        <v>60</v>
      </c>
      <c r="K344" t="s">
        <v>61</v>
      </c>
      <c r="L344">
        <v>41983</v>
      </c>
      <c r="M344" t="s">
        <v>33</v>
      </c>
      <c r="N344" t="s">
        <v>63</v>
      </c>
      <c r="O344" t="s">
        <v>57</v>
      </c>
      <c r="P344" t="s">
        <v>58</v>
      </c>
      <c r="Q344" t="s">
        <v>59</v>
      </c>
      <c r="R344">
        <v>99999</v>
      </c>
      <c r="S344" t="s">
        <v>30</v>
      </c>
      <c r="T344" t="s">
        <v>35</v>
      </c>
      <c r="U344" t="s">
        <v>64</v>
      </c>
      <c r="V344" t="s">
        <v>65</v>
      </c>
      <c r="W344">
        <v>9.1999999999999993</v>
      </c>
      <c r="X344">
        <v>40</v>
      </c>
      <c r="Y344">
        <v>368</v>
      </c>
      <c r="Z344">
        <v>38.640000000000008</v>
      </c>
    </row>
    <row r="345" spans="1:26" x14ac:dyDescent="0.35">
      <c r="A345">
        <v>1399</v>
      </c>
      <c r="B345">
        <v>41998</v>
      </c>
      <c r="C345">
        <v>25</v>
      </c>
      <c r="D345" t="s">
        <v>137</v>
      </c>
      <c r="E345" t="s">
        <v>138</v>
      </c>
      <c r="F345" t="s">
        <v>99</v>
      </c>
      <c r="G345" t="s">
        <v>100</v>
      </c>
      <c r="H345">
        <v>99999</v>
      </c>
      <c r="I345" t="s">
        <v>30</v>
      </c>
      <c r="J345" t="s">
        <v>101</v>
      </c>
      <c r="K345" t="s">
        <v>45</v>
      </c>
      <c r="L345">
        <v>42000</v>
      </c>
      <c r="M345" t="s">
        <v>46</v>
      </c>
      <c r="N345" t="s">
        <v>139</v>
      </c>
      <c r="O345" t="s">
        <v>138</v>
      </c>
      <c r="P345" t="s">
        <v>99</v>
      </c>
      <c r="Q345" t="s">
        <v>100</v>
      </c>
      <c r="R345">
        <v>99999</v>
      </c>
      <c r="S345" t="s">
        <v>30</v>
      </c>
      <c r="T345" t="s">
        <v>79</v>
      </c>
      <c r="U345" t="s">
        <v>146</v>
      </c>
      <c r="V345" t="s">
        <v>65</v>
      </c>
      <c r="W345">
        <v>10</v>
      </c>
      <c r="X345">
        <v>100</v>
      </c>
      <c r="Y345">
        <v>1000</v>
      </c>
      <c r="Z345">
        <v>98</v>
      </c>
    </row>
    <row r="346" spans="1:26" x14ac:dyDescent="0.35">
      <c r="A346">
        <v>1400</v>
      </c>
      <c r="B346">
        <v>41999</v>
      </c>
      <c r="C346">
        <v>26</v>
      </c>
      <c r="D346" t="s">
        <v>140</v>
      </c>
      <c r="E346" t="s">
        <v>141</v>
      </c>
      <c r="F346" t="s">
        <v>115</v>
      </c>
      <c r="G346" t="s">
        <v>116</v>
      </c>
      <c r="H346">
        <v>99999</v>
      </c>
      <c r="I346" t="s">
        <v>30</v>
      </c>
      <c r="J346" t="s">
        <v>94</v>
      </c>
      <c r="K346" t="s">
        <v>95</v>
      </c>
      <c r="L346">
        <v>42001</v>
      </c>
      <c r="M346" t="s">
        <v>62</v>
      </c>
      <c r="N346" t="s">
        <v>142</v>
      </c>
      <c r="O346" t="s">
        <v>141</v>
      </c>
      <c r="P346" t="s">
        <v>115</v>
      </c>
      <c r="Q346" t="s">
        <v>116</v>
      </c>
      <c r="R346">
        <v>99999</v>
      </c>
      <c r="S346" t="s">
        <v>30</v>
      </c>
      <c r="T346" t="s">
        <v>48</v>
      </c>
      <c r="U346" t="s">
        <v>147</v>
      </c>
      <c r="V346" t="s">
        <v>148</v>
      </c>
      <c r="W346">
        <v>21.35</v>
      </c>
      <c r="X346">
        <v>88</v>
      </c>
      <c r="Y346">
        <v>1878.8000000000002</v>
      </c>
      <c r="Z346">
        <v>184.12240000000003</v>
      </c>
    </row>
    <row r="347" spans="1:26" x14ac:dyDescent="0.35">
      <c r="A347">
        <v>1401</v>
      </c>
      <c r="B347">
        <v>41999</v>
      </c>
      <c r="C347">
        <v>26</v>
      </c>
      <c r="D347" t="s">
        <v>140</v>
      </c>
      <c r="E347" t="s">
        <v>141</v>
      </c>
      <c r="F347" t="s">
        <v>115</v>
      </c>
      <c r="G347" t="s">
        <v>116</v>
      </c>
      <c r="H347">
        <v>99999</v>
      </c>
      <c r="I347" t="s">
        <v>30</v>
      </c>
      <c r="J347" t="s">
        <v>94</v>
      </c>
      <c r="K347" t="s">
        <v>95</v>
      </c>
      <c r="L347">
        <v>42001</v>
      </c>
      <c r="M347" t="s">
        <v>62</v>
      </c>
      <c r="N347" t="s">
        <v>142</v>
      </c>
      <c r="O347" t="s">
        <v>141</v>
      </c>
      <c r="P347" t="s">
        <v>115</v>
      </c>
      <c r="Q347" t="s">
        <v>116</v>
      </c>
      <c r="R347">
        <v>99999</v>
      </c>
      <c r="S347" t="s">
        <v>30</v>
      </c>
      <c r="T347" t="s">
        <v>48</v>
      </c>
      <c r="U347" t="s">
        <v>80</v>
      </c>
      <c r="V347" t="s">
        <v>81</v>
      </c>
      <c r="W347">
        <v>9.65</v>
      </c>
      <c r="X347">
        <v>46</v>
      </c>
      <c r="Y347">
        <v>443.90000000000003</v>
      </c>
      <c r="Z347">
        <v>42.614400000000003</v>
      </c>
    </row>
    <row r="348" spans="1:26" x14ac:dyDescent="0.35">
      <c r="A348">
        <v>1402</v>
      </c>
      <c r="B348">
        <v>41999</v>
      </c>
      <c r="C348">
        <v>26</v>
      </c>
      <c r="D348" t="s">
        <v>140</v>
      </c>
      <c r="E348" t="s">
        <v>141</v>
      </c>
      <c r="F348" t="s">
        <v>115</v>
      </c>
      <c r="G348" t="s">
        <v>116</v>
      </c>
      <c r="H348">
        <v>99999</v>
      </c>
      <c r="I348" t="s">
        <v>30</v>
      </c>
      <c r="J348" t="s">
        <v>94</v>
      </c>
      <c r="K348" t="s">
        <v>95</v>
      </c>
      <c r="L348">
        <v>42001</v>
      </c>
      <c r="M348" t="s">
        <v>62</v>
      </c>
      <c r="N348" t="s">
        <v>142</v>
      </c>
      <c r="O348" t="s">
        <v>141</v>
      </c>
      <c r="P348" t="s">
        <v>115</v>
      </c>
      <c r="Q348" t="s">
        <v>116</v>
      </c>
      <c r="R348">
        <v>99999</v>
      </c>
      <c r="S348" t="s">
        <v>30</v>
      </c>
      <c r="T348" t="s">
        <v>48</v>
      </c>
      <c r="U348" t="s">
        <v>123</v>
      </c>
      <c r="V348" t="s">
        <v>124</v>
      </c>
      <c r="W348">
        <v>18.399999999999999</v>
      </c>
      <c r="X348">
        <v>93</v>
      </c>
      <c r="Y348">
        <v>1711.1999999999998</v>
      </c>
      <c r="Z348">
        <v>167.69759999999999</v>
      </c>
    </row>
    <row r="349" spans="1:26" x14ac:dyDescent="0.35">
      <c r="A349">
        <v>1403</v>
      </c>
      <c r="B349">
        <v>42002</v>
      </c>
      <c r="C349">
        <v>29</v>
      </c>
      <c r="D349" t="s">
        <v>66</v>
      </c>
      <c r="E349" t="s">
        <v>67</v>
      </c>
      <c r="F349" t="s">
        <v>68</v>
      </c>
      <c r="G349" t="s">
        <v>69</v>
      </c>
      <c r="H349">
        <v>99999</v>
      </c>
      <c r="I349" t="s">
        <v>30</v>
      </c>
      <c r="J349" t="s">
        <v>70</v>
      </c>
      <c r="K349" t="s">
        <v>32</v>
      </c>
      <c r="L349">
        <v>42004</v>
      </c>
      <c r="M349" t="s">
        <v>33</v>
      </c>
      <c r="N349" t="s">
        <v>71</v>
      </c>
      <c r="O349" t="s">
        <v>67</v>
      </c>
      <c r="P349" t="s">
        <v>68</v>
      </c>
      <c r="Q349" t="s">
        <v>69</v>
      </c>
      <c r="R349">
        <v>99999</v>
      </c>
      <c r="S349" t="s">
        <v>30</v>
      </c>
      <c r="T349" t="s">
        <v>35</v>
      </c>
      <c r="U349" t="s">
        <v>36</v>
      </c>
      <c r="V349" t="s">
        <v>37</v>
      </c>
      <c r="W349">
        <v>14</v>
      </c>
      <c r="X349">
        <v>96</v>
      </c>
      <c r="Y349">
        <v>1344</v>
      </c>
      <c r="Z349">
        <v>141.12</v>
      </c>
    </row>
    <row r="350" spans="1:26" x14ac:dyDescent="0.35">
      <c r="A350">
        <v>1404</v>
      </c>
      <c r="B350">
        <v>41979</v>
      </c>
      <c r="C350">
        <v>6</v>
      </c>
      <c r="D350" t="s">
        <v>82</v>
      </c>
      <c r="E350" t="s">
        <v>83</v>
      </c>
      <c r="F350" t="s">
        <v>84</v>
      </c>
      <c r="G350" t="s">
        <v>85</v>
      </c>
      <c r="H350">
        <v>99999</v>
      </c>
      <c r="I350" t="s">
        <v>30</v>
      </c>
      <c r="J350" t="s">
        <v>86</v>
      </c>
      <c r="K350" t="s">
        <v>61</v>
      </c>
      <c r="L350">
        <v>41981</v>
      </c>
      <c r="M350" t="s">
        <v>62</v>
      </c>
      <c r="N350" t="s">
        <v>87</v>
      </c>
      <c r="O350" t="s">
        <v>83</v>
      </c>
      <c r="P350" t="s">
        <v>84</v>
      </c>
      <c r="Q350" t="s">
        <v>85</v>
      </c>
      <c r="R350">
        <v>99999</v>
      </c>
      <c r="S350" t="s">
        <v>30</v>
      </c>
      <c r="T350" t="s">
        <v>35</v>
      </c>
      <c r="U350" t="s">
        <v>72</v>
      </c>
      <c r="V350" t="s">
        <v>73</v>
      </c>
      <c r="W350">
        <v>12.75</v>
      </c>
      <c r="X350">
        <v>12</v>
      </c>
      <c r="Y350">
        <v>153</v>
      </c>
      <c r="Z350">
        <v>16.065000000000001</v>
      </c>
    </row>
    <row r="351" spans="1:26" x14ac:dyDescent="0.35">
      <c r="A351">
        <v>1406</v>
      </c>
      <c r="B351">
        <v>41977</v>
      </c>
      <c r="C351">
        <v>4</v>
      </c>
      <c r="D351" t="s">
        <v>40</v>
      </c>
      <c r="E351" t="s">
        <v>41</v>
      </c>
      <c r="F351" t="s">
        <v>42</v>
      </c>
      <c r="G351" t="s">
        <v>43</v>
      </c>
      <c r="H351">
        <v>99999</v>
      </c>
      <c r="I351" t="s">
        <v>30</v>
      </c>
      <c r="J351" t="s">
        <v>44</v>
      </c>
      <c r="K351" t="s">
        <v>45</v>
      </c>
      <c r="L351">
        <v>41979</v>
      </c>
      <c r="M351" t="s">
        <v>46</v>
      </c>
      <c r="N351" t="s">
        <v>47</v>
      </c>
      <c r="O351" t="s">
        <v>41</v>
      </c>
      <c r="P351" t="s">
        <v>42</v>
      </c>
      <c r="Q351" t="s">
        <v>43</v>
      </c>
      <c r="R351">
        <v>99999</v>
      </c>
      <c r="S351" t="s">
        <v>30</v>
      </c>
      <c r="T351" t="s">
        <v>48</v>
      </c>
      <c r="U351" t="s">
        <v>149</v>
      </c>
      <c r="V351" t="s">
        <v>110</v>
      </c>
      <c r="W351">
        <v>81</v>
      </c>
      <c r="X351">
        <v>38</v>
      </c>
      <c r="Y351">
        <v>3078</v>
      </c>
      <c r="Z351">
        <v>292.41000000000003</v>
      </c>
    </row>
    <row r="352" spans="1:26" x14ac:dyDescent="0.35">
      <c r="A352">
        <v>1407</v>
      </c>
      <c r="B352">
        <v>41977</v>
      </c>
      <c r="C352">
        <v>4</v>
      </c>
      <c r="D352" t="s">
        <v>40</v>
      </c>
      <c r="E352" t="s">
        <v>41</v>
      </c>
      <c r="F352" t="s">
        <v>42</v>
      </c>
      <c r="G352" t="s">
        <v>43</v>
      </c>
      <c r="H352">
        <v>99999</v>
      </c>
      <c r="I352" t="s">
        <v>30</v>
      </c>
      <c r="J352" t="s">
        <v>44</v>
      </c>
      <c r="K352" t="s">
        <v>45</v>
      </c>
      <c r="L352">
        <v>41979</v>
      </c>
      <c r="M352" t="s">
        <v>46</v>
      </c>
      <c r="N352" t="s">
        <v>47</v>
      </c>
      <c r="O352" t="s">
        <v>41</v>
      </c>
      <c r="P352" t="s">
        <v>42</v>
      </c>
      <c r="Q352" t="s">
        <v>43</v>
      </c>
      <c r="R352">
        <v>99999</v>
      </c>
      <c r="S352" t="s">
        <v>30</v>
      </c>
      <c r="T352" t="s">
        <v>48</v>
      </c>
      <c r="U352" t="s">
        <v>150</v>
      </c>
      <c r="V352" t="s">
        <v>151</v>
      </c>
      <c r="W352">
        <v>7</v>
      </c>
      <c r="X352">
        <v>42</v>
      </c>
      <c r="Y352">
        <v>294</v>
      </c>
      <c r="Z352">
        <v>29.106000000000002</v>
      </c>
    </row>
    <row r="353" spans="1:26" x14ac:dyDescent="0.35">
      <c r="A353">
        <v>1409</v>
      </c>
      <c r="B353">
        <v>41981</v>
      </c>
      <c r="C353">
        <v>8</v>
      </c>
      <c r="D353" t="s">
        <v>56</v>
      </c>
      <c r="E353" t="s">
        <v>57</v>
      </c>
      <c r="F353" t="s">
        <v>58</v>
      </c>
      <c r="G353" t="s">
        <v>59</v>
      </c>
      <c r="H353">
        <v>99999</v>
      </c>
      <c r="I353" t="s">
        <v>30</v>
      </c>
      <c r="J353" t="s">
        <v>60</v>
      </c>
      <c r="K353" t="s">
        <v>61</v>
      </c>
      <c r="L353">
        <v>41983</v>
      </c>
      <c r="M353" t="s">
        <v>62</v>
      </c>
      <c r="N353" t="s">
        <v>63</v>
      </c>
      <c r="O353" t="s">
        <v>57</v>
      </c>
      <c r="P353" t="s">
        <v>58</v>
      </c>
      <c r="Q353" t="s">
        <v>59</v>
      </c>
      <c r="R353">
        <v>99999</v>
      </c>
      <c r="S353" t="s">
        <v>30</v>
      </c>
      <c r="T353" t="s">
        <v>48</v>
      </c>
      <c r="U353" t="s">
        <v>133</v>
      </c>
      <c r="V353" t="s">
        <v>134</v>
      </c>
      <c r="W353">
        <v>34.799999999999997</v>
      </c>
      <c r="X353">
        <v>100</v>
      </c>
      <c r="Y353">
        <v>3479.9999999999995</v>
      </c>
      <c r="Z353">
        <v>344.52</v>
      </c>
    </row>
    <row r="354" spans="1:26" x14ac:dyDescent="0.35">
      <c r="A354">
        <v>1412</v>
      </c>
      <c r="B354">
        <v>41976</v>
      </c>
      <c r="C354">
        <v>3</v>
      </c>
      <c r="D354" t="s">
        <v>74</v>
      </c>
      <c r="E354" t="s">
        <v>75</v>
      </c>
      <c r="F354" t="s">
        <v>76</v>
      </c>
      <c r="G354" t="s">
        <v>77</v>
      </c>
      <c r="H354">
        <v>99999</v>
      </c>
      <c r="I354" t="s">
        <v>30</v>
      </c>
      <c r="J354" t="s">
        <v>31</v>
      </c>
      <c r="K354" t="s">
        <v>32</v>
      </c>
      <c r="L354">
        <v>41978</v>
      </c>
      <c r="M354" t="s">
        <v>33</v>
      </c>
      <c r="N354" t="s">
        <v>78</v>
      </c>
      <c r="O354" t="s">
        <v>75</v>
      </c>
      <c r="P354" t="s">
        <v>76</v>
      </c>
      <c r="Q354" t="s">
        <v>77</v>
      </c>
      <c r="R354">
        <v>99999</v>
      </c>
      <c r="S354" t="s">
        <v>30</v>
      </c>
      <c r="T354" t="s">
        <v>79</v>
      </c>
      <c r="U354" t="s">
        <v>135</v>
      </c>
      <c r="V354" t="s">
        <v>112</v>
      </c>
      <c r="W354">
        <v>10</v>
      </c>
      <c r="X354">
        <v>89</v>
      </c>
      <c r="Y354">
        <v>890</v>
      </c>
      <c r="Z354">
        <v>87.22</v>
      </c>
    </row>
    <row r="355" spans="1:26" x14ac:dyDescent="0.35">
      <c r="A355">
        <v>1413</v>
      </c>
      <c r="B355">
        <v>41976</v>
      </c>
      <c r="C355">
        <v>3</v>
      </c>
      <c r="D355" t="s">
        <v>74</v>
      </c>
      <c r="E355" t="s">
        <v>75</v>
      </c>
      <c r="F355" t="s">
        <v>76</v>
      </c>
      <c r="G355" t="s">
        <v>77</v>
      </c>
      <c r="H355">
        <v>99999</v>
      </c>
      <c r="I355" t="s">
        <v>30</v>
      </c>
      <c r="J355" t="s">
        <v>31</v>
      </c>
      <c r="K355" t="s">
        <v>32</v>
      </c>
      <c r="L355">
        <v>41978</v>
      </c>
      <c r="M355" t="s">
        <v>33</v>
      </c>
      <c r="N355" t="s">
        <v>78</v>
      </c>
      <c r="O355" t="s">
        <v>75</v>
      </c>
      <c r="P355" t="s">
        <v>76</v>
      </c>
      <c r="Q355" t="s">
        <v>77</v>
      </c>
      <c r="R355">
        <v>99999</v>
      </c>
      <c r="S355" t="s">
        <v>30</v>
      </c>
      <c r="T355" t="s">
        <v>79</v>
      </c>
      <c r="U355" t="s">
        <v>88</v>
      </c>
      <c r="V355" t="s">
        <v>89</v>
      </c>
      <c r="W355">
        <v>40</v>
      </c>
      <c r="X355">
        <v>12</v>
      </c>
      <c r="Y355">
        <v>480</v>
      </c>
      <c r="Z355">
        <v>46.56</v>
      </c>
    </row>
    <row r="356" spans="1:26" x14ac:dyDescent="0.35">
      <c r="A356">
        <v>1417</v>
      </c>
      <c r="B356">
        <v>41983</v>
      </c>
      <c r="C356">
        <v>10</v>
      </c>
      <c r="D356" t="s">
        <v>97</v>
      </c>
      <c r="E356" t="s">
        <v>98</v>
      </c>
      <c r="F356" t="s">
        <v>99</v>
      </c>
      <c r="G356" t="s">
        <v>100</v>
      </c>
      <c r="H356">
        <v>99999</v>
      </c>
      <c r="I356" t="s">
        <v>30</v>
      </c>
      <c r="J356" t="s">
        <v>101</v>
      </c>
      <c r="K356" t="s">
        <v>45</v>
      </c>
      <c r="L356">
        <v>41985</v>
      </c>
      <c r="M356" t="s">
        <v>33</v>
      </c>
      <c r="N356" t="s">
        <v>102</v>
      </c>
      <c r="O356" t="s">
        <v>98</v>
      </c>
      <c r="P356" t="s">
        <v>99</v>
      </c>
      <c r="Q356" t="s">
        <v>100</v>
      </c>
      <c r="R356">
        <v>99999</v>
      </c>
      <c r="S356" t="s">
        <v>30</v>
      </c>
      <c r="T356" t="s">
        <v>48</v>
      </c>
      <c r="U356" t="s">
        <v>136</v>
      </c>
      <c r="V356" t="s">
        <v>39</v>
      </c>
      <c r="W356">
        <v>10</v>
      </c>
      <c r="X356">
        <v>97</v>
      </c>
      <c r="Y356">
        <v>970</v>
      </c>
      <c r="Z356">
        <v>100.88000000000001</v>
      </c>
    </row>
    <row r="357" spans="1:26" x14ac:dyDescent="0.35">
      <c r="A357">
        <v>1419</v>
      </c>
      <c r="B357">
        <v>41983</v>
      </c>
      <c r="C357">
        <v>10</v>
      </c>
      <c r="D357" t="s">
        <v>97</v>
      </c>
      <c r="E357" t="s">
        <v>98</v>
      </c>
      <c r="F357" t="s">
        <v>99</v>
      </c>
      <c r="G357" t="s">
        <v>100</v>
      </c>
      <c r="H357">
        <v>99999</v>
      </c>
      <c r="I357" t="s">
        <v>30</v>
      </c>
      <c r="J357" t="s">
        <v>101</v>
      </c>
      <c r="K357" t="s">
        <v>45</v>
      </c>
      <c r="M357" t="s">
        <v>46</v>
      </c>
      <c r="N357" t="s">
        <v>102</v>
      </c>
      <c r="O357" t="s">
        <v>98</v>
      </c>
      <c r="P357" t="s">
        <v>99</v>
      </c>
      <c r="Q357" t="s">
        <v>100</v>
      </c>
      <c r="R357">
        <v>99999</v>
      </c>
      <c r="S357" t="s">
        <v>30</v>
      </c>
      <c r="U357" t="s">
        <v>38</v>
      </c>
      <c r="V357" t="s">
        <v>39</v>
      </c>
      <c r="W357">
        <v>3.5</v>
      </c>
      <c r="X357">
        <v>53</v>
      </c>
      <c r="Y357">
        <v>185.5</v>
      </c>
      <c r="Z357">
        <v>17.622499999999999</v>
      </c>
    </row>
    <row r="358" spans="1:26" x14ac:dyDescent="0.35">
      <c r="A358">
        <v>1420</v>
      </c>
      <c r="B358">
        <v>41984</v>
      </c>
      <c r="C358">
        <v>11</v>
      </c>
      <c r="D358" t="s">
        <v>113</v>
      </c>
      <c r="E358" t="s">
        <v>114</v>
      </c>
      <c r="F358" t="s">
        <v>115</v>
      </c>
      <c r="G358" t="s">
        <v>116</v>
      </c>
      <c r="H358">
        <v>99999</v>
      </c>
      <c r="I358" t="s">
        <v>30</v>
      </c>
      <c r="J358" t="s">
        <v>94</v>
      </c>
      <c r="K358" t="s">
        <v>95</v>
      </c>
      <c r="M358" t="s">
        <v>62</v>
      </c>
      <c r="N358" t="s">
        <v>117</v>
      </c>
      <c r="O358" t="s">
        <v>114</v>
      </c>
      <c r="P358" t="s">
        <v>115</v>
      </c>
      <c r="Q358" t="s">
        <v>116</v>
      </c>
      <c r="R358">
        <v>99999</v>
      </c>
      <c r="S358" t="s">
        <v>30</v>
      </c>
      <c r="U358" t="s">
        <v>88</v>
      </c>
      <c r="V358" t="s">
        <v>89</v>
      </c>
      <c r="W358">
        <v>40</v>
      </c>
      <c r="X358">
        <v>61</v>
      </c>
      <c r="Y358">
        <v>2440</v>
      </c>
      <c r="Z358">
        <v>248.88</v>
      </c>
    </row>
    <row r="359" spans="1:26" x14ac:dyDescent="0.35">
      <c r="A359">
        <v>1421</v>
      </c>
      <c r="B359">
        <v>41974</v>
      </c>
      <c r="C359">
        <v>1</v>
      </c>
      <c r="D359" t="s">
        <v>118</v>
      </c>
      <c r="E359" t="s">
        <v>119</v>
      </c>
      <c r="F359" t="s">
        <v>120</v>
      </c>
      <c r="G359" t="s">
        <v>121</v>
      </c>
      <c r="H359">
        <v>99999</v>
      </c>
      <c r="I359" t="s">
        <v>30</v>
      </c>
      <c r="J359" t="s">
        <v>60</v>
      </c>
      <c r="K359" t="s">
        <v>61</v>
      </c>
      <c r="M359" t="s">
        <v>62</v>
      </c>
      <c r="N359" t="s">
        <v>122</v>
      </c>
      <c r="O359" t="s">
        <v>119</v>
      </c>
      <c r="P359" t="s">
        <v>120</v>
      </c>
      <c r="Q359" t="s">
        <v>121</v>
      </c>
      <c r="R359">
        <v>99999</v>
      </c>
      <c r="S359" t="s">
        <v>30</v>
      </c>
      <c r="U359" t="s">
        <v>123</v>
      </c>
      <c r="V359" t="s">
        <v>124</v>
      </c>
      <c r="W359">
        <v>18.399999999999999</v>
      </c>
      <c r="X359">
        <v>45</v>
      </c>
      <c r="Y359">
        <v>827.99999999999989</v>
      </c>
      <c r="Z359">
        <v>81.143999999999991</v>
      </c>
    </row>
    <row r="360" spans="1:26" x14ac:dyDescent="0.35">
      <c r="A360">
        <v>1422</v>
      </c>
      <c r="B360">
        <v>42001</v>
      </c>
      <c r="C360">
        <v>28</v>
      </c>
      <c r="D360" t="s">
        <v>90</v>
      </c>
      <c r="E360" t="s">
        <v>91</v>
      </c>
      <c r="F360" t="s">
        <v>92</v>
      </c>
      <c r="G360" t="s">
        <v>93</v>
      </c>
      <c r="H360">
        <v>99999</v>
      </c>
      <c r="I360" t="s">
        <v>30</v>
      </c>
      <c r="J360" t="s">
        <v>94</v>
      </c>
      <c r="K360" t="s">
        <v>95</v>
      </c>
      <c r="L360">
        <v>42003</v>
      </c>
      <c r="M360" t="s">
        <v>62</v>
      </c>
      <c r="N360" t="s">
        <v>96</v>
      </c>
      <c r="O360" t="s">
        <v>91</v>
      </c>
      <c r="P360" t="s">
        <v>92</v>
      </c>
      <c r="Q360" t="s">
        <v>93</v>
      </c>
      <c r="R360">
        <v>99999</v>
      </c>
      <c r="S360" t="s">
        <v>30</v>
      </c>
      <c r="T360" t="s">
        <v>48</v>
      </c>
      <c r="U360" t="s">
        <v>55</v>
      </c>
      <c r="V360" t="s">
        <v>37</v>
      </c>
      <c r="W360">
        <v>46</v>
      </c>
      <c r="X360">
        <v>43</v>
      </c>
      <c r="Y360">
        <v>1978</v>
      </c>
      <c r="Z360">
        <v>197.8</v>
      </c>
    </row>
    <row r="361" spans="1:26" x14ac:dyDescent="0.35">
      <c r="A361">
        <v>1423</v>
      </c>
      <c r="B361">
        <v>41982</v>
      </c>
      <c r="C361">
        <v>9</v>
      </c>
      <c r="D361" t="s">
        <v>125</v>
      </c>
      <c r="E361" t="s">
        <v>126</v>
      </c>
      <c r="F361" t="s">
        <v>127</v>
      </c>
      <c r="G361" t="s">
        <v>128</v>
      </c>
      <c r="H361">
        <v>99999</v>
      </c>
      <c r="I361" t="s">
        <v>30</v>
      </c>
      <c r="J361" t="s">
        <v>129</v>
      </c>
      <c r="K361" t="s">
        <v>32</v>
      </c>
      <c r="L361">
        <v>41984</v>
      </c>
      <c r="M361" t="s">
        <v>46</v>
      </c>
      <c r="N361" t="s">
        <v>130</v>
      </c>
      <c r="O361" t="s">
        <v>126</v>
      </c>
      <c r="P361" t="s">
        <v>127</v>
      </c>
      <c r="Q361" t="s">
        <v>128</v>
      </c>
      <c r="R361">
        <v>99999</v>
      </c>
      <c r="S361" t="s">
        <v>30</v>
      </c>
      <c r="T361" t="s">
        <v>35</v>
      </c>
      <c r="U361" t="s">
        <v>80</v>
      </c>
      <c r="V361" t="s">
        <v>81</v>
      </c>
      <c r="W361">
        <v>9.65</v>
      </c>
      <c r="X361">
        <v>18</v>
      </c>
      <c r="Y361">
        <v>173.70000000000002</v>
      </c>
      <c r="Z361">
        <v>16.5015</v>
      </c>
    </row>
    <row r="362" spans="1:26" x14ac:dyDescent="0.35">
      <c r="A362">
        <v>1424</v>
      </c>
      <c r="B362">
        <v>41979</v>
      </c>
      <c r="C362">
        <v>6</v>
      </c>
      <c r="D362" t="s">
        <v>82</v>
      </c>
      <c r="E362" t="s">
        <v>83</v>
      </c>
      <c r="F362" t="s">
        <v>84</v>
      </c>
      <c r="G362" t="s">
        <v>85</v>
      </c>
      <c r="H362">
        <v>99999</v>
      </c>
      <c r="I362" t="s">
        <v>30</v>
      </c>
      <c r="J362" t="s">
        <v>86</v>
      </c>
      <c r="K362" t="s">
        <v>61</v>
      </c>
      <c r="L362">
        <v>41981</v>
      </c>
      <c r="M362" t="s">
        <v>33</v>
      </c>
      <c r="N362" t="s">
        <v>87</v>
      </c>
      <c r="O362" t="s">
        <v>83</v>
      </c>
      <c r="P362" t="s">
        <v>84</v>
      </c>
      <c r="Q362" t="s">
        <v>85</v>
      </c>
      <c r="R362">
        <v>99999</v>
      </c>
      <c r="S362" t="s">
        <v>30</v>
      </c>
      <c r="T362" t="s">
        <v>48</v>
      </c>
      <c r="U362" t="s">
        <v>72</v>
      </c>
      <c r="V362" t="s">
        <v>73</v>
      </c>
      <c r="W362">
        <v>12.75</v>
      </c>
      <c r="X362">
        <v>41</v>
      </c>
      <c r="Y362">
        <v>522.75</v>
      </c>
      <c r="Z362">
        <v>50.706750000000007</v>
      </c>
    </row>
    <row r="363" spans="1:26" x14ac:dyDescent="0.35">
      <c r="A363">
        <v>1425</v>
      </c>
      <c r="B363">
        <v>41981</v>
      </c>
      <c r="C363">
        <v>8</v>
      </c>
      <c r="D363" t="s">
        <v>56</v>
      </c>
      <c r="E363" t="s">
        <v>57</v>
      </c>
      <c r="F363" t="s">
        <v>58</v>
      </c>
      <c r="G363" t="s">
        <v>59</v>
      </c>
      <c r="H363">
        <v>99999</v>
      </c>
      <c r="I363" t="s">
        <v>30</v>
      </c>
      <c r="J363" t="s">
        <v>60</v>
      </c>
      <c r="K363" t="s">
        <v>61</v>
      </c>
      <c r="L363">
        <v>41983</v>
      </c>
      <c r="M363" t="s">
        <v>33</v>
      </c>
      <c r="N363" t="s">
        <v>63</v>
      </c>
      <c r="O363" t="s">
        <v>57</v>
      </c>
      <c r="P363" t="s">
        <v>58</v>
      </c>
      <c r="Q363" t="s">
        <v>59</v>
      </c>
      <c r="R363">
        <v>99999</v>
      </c>
      <c r="S363" t="s">
        <v>30</v>
      </c>
      <c r="T363" t="s">
        <v>35</v>
      </c>
      <c r="U363" t="s">
        <v>72</v>
      </c>
      <c r="V363" t="s">
        <v>73</v>
      </c>
      <c r="W363">
        <v>12.75</v>
      </c>
      <c r="X363">
        <v>19</v>
      </c>
      <c r="Y363">
        <v>242.25</v>
      </c>
      <c r="Z363">
        <v>23.982750000000003</v>
      </c>
    </row>
    <row r="364" spans="1:26" x14ac:dyDescent="0.35">
      <c r="A364">
        <v>1426</v>
      </c>
      <c r="B364">
        <v>41998</v>
      </c>
      <c r="C364">
        <v>25</v>
      </c>
      <c r="D364" t="s">
        <v>137</v>
      </c>
      <c r="E364" t="s">
        <v>138</v>
      </c>
      <c r="F364" t="s">
        <v>99</v>
      </c>
      <c r="G364" t="s">
        <v>100</v>
      </c>
      <c r="H364">
        <v>99999</v>
      </c>
      <c r="I364" t="s">
        <v>30</v>
      </c>
      <c r="J364" t="s">
        <v>101</v>
      </c>
      <c r="K364" t="s">
        <v>45</v>
      </c>
      <c r="L364">
        <v>42000</v>
      </c>
      <c r="M364" t="s">
        <v>46</v>
      </c>
      <c r="N364" t="s">
        <v>139</v>
      </c>
      <c r="O364" t="s">
        <v>138</v>
      </c>
      <c r="P364" t="s">
        <v>99</v>
      </c>
      <c r="Q364" t="s">
        <v>100</v>
      </c>
      <c r="R364">
        <v>99999</v>
      </c>
      <c r="S364" t="s">
        <v>30</v>
      </c>
      <c r="T364" t="s">
        <v>79</v>
      </c>
      <c r="U364" t="s">
        <v>111</v>
      </c>
      <c r="V364" t="s">
        <v>112</v>
      </c>
      <c r="W364">
        <v>22</v>
      </c>
      <c r="X364">
        <v>65</v>
      </c>
      <c r="Y364">
        <v>1430</v>
      </c>
      <c r="Z364">
        <v>138.71</v>
      </c>
    </row>
    <row r="365" spans="1:26" x14ac:dyDescent="0.35">
      <c r="A365">
        <v>1427</v>
      </c>
      <c r="B365">
        <v>41999</v>
      </c>
      <c r="C365">
        <v>26</v>
      </c>
      <c r="D365" t="s">
        <v>140</v>
      </c>
      <c r="E365" t="s">
        <v>141</v>
      </c>
      <c r="F365" t="s">
        <v>115</v>
      </c>
      <c r="G365" t="s">
        <v>116</v>
      </c>
      <c r="H365">
        <v>99999</v>
      </c>
      <c r="I365" t="s">
        <v>30</v>
      </c>
      <c r="J365" t="s">
        <v>94</v>
      </c>
      <c r="K365" t="s">
        <v>95</v>
      </c>
      <c r="L365">
        <v>42001</v>
      </c>
      <c r="M365" t="s">
        <v>62</v>
      </c>
      <c r="N365" t="s">
        <v>142</v>
      </c>
      <c r="O365" t="s">
        <v>141</v>
      </c>
      <c r="P365" t="s">
        <v>115</v>
      </c>
      <c r="Q365" t="s">
        <v>116</v>
      </c>
      <c r="R365">
        <v>99999</v>
      </c>
      <c r="S365" t="s">
        <v>30</v>
      </c>
      <c r="T365" t="s">
        <v>48</v>
      </c>
      <c r="U365" t="s">
        <v>109</v>
      </c>
      <c r="V365" t="s">
        <v>110</v>
      </c>
      <c r="W365">
        <v>25</v>
      </c>
      <c r="X365">
        <v>13</v>
      </c>
      <c r="Y365">
        <v>325</v>
      </c>
      <c r="Z365">
        <v>32.174999999999997</v>
      </c>
    </row>
    <row r="366" spans="1:26" x14ac:dyDescent="0.35">
      <c r="A366">
        <v>1428</v>
      </c>
      <c r="B366">
        <v>42002</v>
      </c>
      <c r="C366">
        <v>29</v>
      </c>
      <c r="D366" t="s">
        <v>66</v>
      </c>
      <c r="E366" t="s">
        <v>67</v>
      </c>
      <c r="F366" t="s">
        <v>68</v>
      </c>
      <c r="G366" t="s">
        <v>69</v>
      </c>
      <c r="H366">
        <v>99999</v>
      </c>
      <c r="I366" t="s">
        <v>30</v>
      </c>
      <c r="J366" t="s">
        <v>70</v>
      </c>
      <c r="K366" t="s">
        <v>32</v>
      </c>
      <c r="L366">
        <v>42004</v>
      </c>
      <c r="M366" t="s">
        <v>33</v>
      </c>
      <c r="N366" t="s">
        <v>71</v>
      </c>
      <c r="O366" t="s">
        <v>67</v>
      </c>
      <c r="P366" t="s">
        <v>68</v>
      </c>
      <c r="Q366" t="s">
        <v>69</v>
      </c>
      <c r="R366">
        <v>99999</v>
      </c>
      <c r="S366" t="s">
        <v>30</v>
      </c>
      <c r="T366" t="s">
        <v>35</v>
      </c>
      <c r="U366" t="s">
        <v>143</v>
      </c>
      <c r="V366" t="s">
        <v>144</v>
      </c>
      <c r="W366">
        <v>39</v>
      </c>
      <c r="X366">
        <v>54</v>
      </c>
      <c r="Y366">
        <v>2106</v>
      </c>
      <c r="Z366">
        <v>214.81200000000004</v>
      </c>
    </row>
    <row r="367" spans="1:26" x14ac:dyDescent="0.35">
      <c r="A367">
        <v>1429</v>
      </c>
      <c r="B367">
        <v>41979</v>
      </c>
      <c r="C367">
        <v>6</v>
      </c>
      <c r="D367" t="s">
        <v>82</v>
      </c>
      <c r="E367" t="s">
        <v>83</v>
      </c>
      <c r="F367" t="s">
        <v>84</v>
      </c>
      <c r="G367" t="s">
        <v>85</v>
      </c>
      <c r="H367">
        <v>99999</v>
      </c>
      <c r="I367" t="s">
        <v>30</v>
      </c>
      <c r="J367" t="s">
        <v>86</v>
      </c>
      <c r="K367" t="s">
        <v>61</v>
      </c>
      <c r="L367">
        <v>41981</v>
      </c>
      <c r="M367" t="s">
        <v>62</v>
      </c>
      <c r="N367" t="s">
        <v>87</v>
      </c>
      <c r="O367" t="s">
        <v>83</v>
      </c>
      <c r="P367" t="s">
        <v>84</v>
      </c>
      <c r="Q367" t="s">
        <v>85</v>
      </c>
      <c r="R367">
        <v>99999</v>
      </c>
      <c r="S367" t="s">
        <v>30</v>
      </c>
      <c r="T367" t="s">
        <v>35</v>
      </c>
      <c r="U367" t="s">
        <v>49</v>
      </c>
      <c r="V367" t="s">
        <v>39</v>
      </c>
      <c r="W367">
        <v>30</v>
      </c>
      <c r="X367">
        <v>33</v>
      </c>
      <c r="Y367">
        <v>990</v>
      </c>
      <c r="Z367">
        <v>95.039999999999992</v>
      </c>
    </row>
    <row r="368" spans="1:26" x14ac:dyDescent="0.35">
      <c r="A368">
        <v>1430</v>
      </c>
      <c r="B368">
        <v>41979</v>
      </c>
      <c r="C368">
        <v>6</v>
      </c>
      <c r="D368" t="s">
        <v>82</v>
      </c>
      <c r="E368" t="s">
        <v>83</v>
      </c>
      <c r="F368" t="s">
        <v>84</v>
      </c>
      <c r="G368" t="s">
        <v>85</v>
      </c>
      <c r="H368">
        <v>99999</v>
      </c>
      <c r="I368" t="s">
        <v>30</v>
      </c>
      <c r="J368" t="s">
        <v>86</v>
      </c>
      <c r="K368" t="s">
        <v>61</v>
      </c>
      <c r="L368">
        <v>41981</v>
      </c>
      <c r="M368" t="s">
        <v>62</v>
      </c>
      <c r="N368" t="s">
        <v>87</v>
      </c>
      <c r="O368" t="s">
        <v>83</v>
      </c>
      <c r="P368" t="s">
        <v>84</v>
      </c>
      <c r="Q368" t="s">
        <v>85</v>
      </c>
      <c r="R368">
        <v>99999</v>
      </c>
      <c r="S368" t="s">
        <v>30</v>
      </c>
      <c r="T368" t="s">
        <v>35</v>
      </c>
      <c r="U368" t="s">
        <v>50</v>
      </c>
      <c r="V368" t="s">
        <v>39</v>
      </c>
      <c r="W368">
        <v>53</v>
      </c>
      <c r="X368">
        <v>34</v>
      </c>
      <c r="Y368">
        <v>1802</v>
      </c>
      <c r="Z368">
        <v>185.60600000000002</v>
      </c>
    </row>
    <row r="369" spans="1:26" x14ac:dyDescent="0.35">
      <c r="A369">
        <v>1431</v>
      </c>
      <c r="B369">
        <v>41977</v>
      </c>
      <c r="C369">
        <v>4</v>
      </c>
      <c r="D369" t="s">
        <v>40</v>
      </c>
      <c r="E369" t="s">
        <v>41</v>
      </c>
      <c r="F369" t="s">
        <v>42</v>
      </c>
      <c r="G369" t="s">
        <v>43</v>
      </c>
      <c r="H369">
        <v>99999</v>
      </c>
      <c r="I369" t="s">
        <v>30</v>
      </c>
      <c r="J369" t="s">
        <v>44</v>
      </c>
      <c r="K369" t="s">
        <v>45</v>
      </c>
      <c r="N369" t="s">
        <v>47</v>
      </c>
      <c r="O369" t="s">
        <v>41</v>
      </c>
      <c r="P369" t="s">
        <v>42</v>
      </c>
      <c r="Q369" t="s">
        <v>43</v>
      </c>
      <c r="R369">
        <v>99999</v>
      </c>
      <c r="S369" t="s">
        <v>30</v>
      </c>
      <c r="U369" t="s">
        <v>145</v>
      </c>
      <c r="V369" t="s">
        <v>132</v>
      </c>
      <c r="W369">
        <v>38</v>
      </c>
      <c r="X369">
        <v>59</v>
      </c>
      <c r="Y369">
        <v>2242</v>
      </c>
      <c r="Z369">
        <v>226.44200000000001</v>
      </c>
    </row>
    <row r="370" spans="1:26" x14ac:dyDescent="0.35">
      <c r="A370">
        <v>1432</v>
      </c>
      <c r="B370">
        <v>41976</v>
      </c>
      <c r="C370">
        <v>3</v>
      </c>
      <c r="D370" t="s">
        <v>74</v>
      </c>
      <c r="E370" t="s">
        <v>75</v>
      </c>
      <c r="F370" t="s">
        <v>76</v>
      </c>
      <c r="G370" t="s">
        <v>77</v>
      </c>
      <c r="H370">
        <v>99999</v>
      </c>
      <c r="I370" t="s">
        <v>30</v>
      </c>
      <c r="J370" t="s">
        <v>31</v>
      </c>
      <c r="K370" t="s">
        <v>32</v>
      </c>
      <c r="N370" t="s">
        <v>78</v>
      </c>
      <c r="O370" t="s">
        <v>75</v>
      </c>
      <c r="P370" t="s">
        <v>76</v>
      </c>
      <c r="Q370" t="s">
        <v>77</v>
      </c>
      <c r="R370">
        <v>99999</v>
      </c>
      <c r="S370" t="s">
        <v>30</v>
      </c>
      <c r="U370" t="s">
        <v>103</v>
      </c>
      <c r="V370" t="s">
        <v>37</v>
      </c>
      <c r="W370">
        <v>2.99</v>
      </c>
      <c r="X370">
        <v>24</v>
      </c>
      <c r="Y370">
        <v>71.760000000000005</v>
      </c>
      <c r="Z370">
        <v>7.1042400000000008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249977111117893"/>
  </sheetPr>
  <dimension ref="A1:Z371"/>
  <sheetViews>
    <sheetView zoomScale="80" zoomScaleNormal="80" workbookViewId="0">
      <pane ySplit="2" topLeftCell="A350" activePane="bottomLeft" state="frozen"/>
      <selection pane="bottomLeft" activeCell="A3" sqref="A3"/>
    </sheetView>
  </sheetViews>
  <sheetFormatPr defaultRowHeight="14.5" x14ac:dyDescent="0.35"/>
  <cols>
    <col min="1" max="1" width="10.54296875" customWidth="1"/>
    <col min="2" max="2" width="13.1796875" bestFit="1" customWidth="1"/>
    <col min="3" max="3" width="14.1796875" bestFit="1" customWidth="1"/>
    <col min="4" max="4" width="17.81640625" bestFit="1" customWidth="1"/>
    <col min="5" max="5" width="14.26953125" bestFit="1" customWidth="1"/>
    <col min="6" max="6" width="12.54296875" bestFit="1" customWidth="1"/>
    <col min="7" max="7" width="8.26953125" bestFit="1" customWidth="1"/>
    <col min="8" max="9" width="15.1796875" bestFit="1" customWidth="1"/>
    <col min="10" max="10" width="19.7265625" bestFit="1" customWidth="1"/>
    <col min="11" max="11" width="7.1796875" bestFit="1" customWidth="1"/>
    <col min="12" max="12" width="12.81640625" bestFit="1" customWidth="1"/>
    <col min="13" max="13" width="19.453125" bestFit="1" customWidth="1"/>
    <col min="14" max="14" width="21.54296875" bestFit="1" customWidth="1"/>
    <col min="15" max="15" width="14.26953125" bestFit="1" customWidth="1"/>
    <col min="16" max="16" width="12.54296875" bestFit="1" customWidth="1"/>
    <col min="17" max="17" width="9.81640625" bestFit="1" customWidth="1"/>
    <col min="18" max="19" width="19.54296875" bestFit="1" customWidth="1"/>
    <col min="20" max="20" width="13.7265625" bestFit="1" customWidth="1"/>
    <col min="21" max="21" width="21" bestFit="1" customWidth="1"/>
    <col min="22" max="22" width="25" bestFit="1" customWidth="1"/>
    <col min="23" max="23" width="9.7265625" bestFit="1" customWidth="1"/>
    <col min="24" max="24" width="8.7265625" bestFit="1" customWidth="1"/>
    <col min="25" max="25" width="19.54296875" customWidth="1"/>
    <col min="26" max="26" width="12.453125" bestFit="1" customWidth="1"/>
  </cols>
  <sheetData>
    <row r="1" spans="1:26" ht="32" customHeight="1" x14ac:dyDescent="0.35">
      <c r="B1" s="6" t="s">
        <v>191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2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</row>
    <row r="3" spans="1:26" x14ac:dyDescent="0.35">
      <c r="A3">
        <v>1001</v>
      </c>
      <c r="B3">
        <v>41666</v>
      </c>
      <c r="C3">
        <v>27</v>
      </c>
      <c r="D3" t="s">
        <v>26</v>
      </c>
      <c r="E3" t="s">
        <v>27</v>
      </c>
      <c r="F3" t="s">
        <v>28</v>
      </c>
      <c r="G3" t="s">
        <v>29</v>
      </c>
      <c r="H3">
        <v>99999</v>
      </c>
      <c r="I3" t="s">
        <v>30</v>
      </c>
      <c r="J3" t="s">
        <v>31</v>
      </c>
      <c r="K3" t="s">
        <v>32</v>
      </c>
      <c r="L3">
        <v>41668</v>
      </c>
      <c r="M3" t="s">
        <v>33</v>
      </c>
      <c r="N3" t="s">
        <v>34</v>
      </c>
      <c r="O3" t="s">
        <v>27</v>
      </c>
      <c r="P3" t="s">
        <v>28</v>
      </c>
      <c r="Q3" t="s">
        <v>29</v>
      </c>
      <c r="R3">
        <v>99999</v>
      </c>
      <c r="S3" t="s">
        <v>30</v>
      </c>
      <c r="T3" t="s">
        <v>35</v>
      </c>
      <c r="U3" t="s">
        <v>36</v>
      </c>
      <c r="V3" t="s">
        <v>37</v>
      </c>
      <c r="W3">
        <v>14</v>
      </c>
      <c r="X3">
        <v>49</v>
      </c>
      <c r="Y3">
        <v>686</v>
      </c>
      <c r="Z3">
        <v>66.542000000000002</v>
      </c>
    </row>
    <row r="4" spans="1:26" x14ac:dyDescent="0.35">
      <c r="A4">
        <v>1002</v>
      </c>
      <c r="B4">
        <v>41666</v>
      </c>
      <c r="C4">
        <v>27</v>
      </c>
      <c r="D4" t="s">
        <v>26</v>
      </c>
      <c r="E4" t="s">
        <v>27</v>
      </c>
      <c r="F4" t="s">
        <v>28</v>
      </c>
      <c r="G4" t="s">
        <v>29</v>
      </c>
      <c r="H4">
        <v>99999</v>
      </c>
      <c r="I4" t="s">
        <v>30</v>
      </c>
      <c r="J4" t="s">
        <v>31</v>
      </c>
      <c r="K4" t="s">
        <v>32</v>
      </c>
      <c r="L4">
        <v>41668</v>
      </c>
      <c r="M4" t="s">
        <v>33</v>
      </c>
      <c r="N4" t="s">
        <v>34</v>
      </c>
      <c r="O4" t="s">
        <v>27</v>
      </c>
      <c r="P4" t="s">
        <v>28</v>
      </c>
      <c r="Q4" t="s">
        <v>29</v>
      </c>
      <c r="R4">
        <v>99999</v>
      </c>
      <c r="S4" t="s">
        <v>30</v>
      </c>
      <c r="T4" t="s">
        <v>35</v>
      </c>
      <c r="U4" t="s">
        <v>38</v>
      </c>
      <c r="V4" t="s">
        <v>39</v>
      </c>
      <c r="W4">
        <v>3.5</v>
      </c>
      <c r="X4">
        <v>47</v>
      </c>
      <c r="Y4">
        <v>164.5</v>
      </c>
      <c r="Z4">
        <v>16.6145</v>
      </c>
    </row>
    <row r="5" spans="1:26" x14ac:dyDescent="0.35">
      <c r="A5">
        <v>1003</v>
      </c>
      <c r="B5">
        <v>41643</v>
      </c>
      <c r="C5">
        <v>4</v>
      </c>
      <c r="D5" t="s">
        <v>40</v>
      </c>
      <c r="E5" t="s">
        <v>41</v>
      </c>
      <c r="F5" t="s">
        <v>42</v>
      </c>
      <c r="G5" t="s">
        <v>43</v>
      </c>
      <c r="H5">
        <v>99999</v>
      </c>
      <c r="I5" t="s">
        <v>30</v>
      </c>
      <c r="J5" t="s">
        <v>44</v>
      </c>
      <c r="K5" t="s">
        <v>45</v>
      </c>
      <c r="L5">
        <v>41645</v>
      </c>
      <c r="M5" t="s">
        <v>46</v>
      </c>
      <c r="N5" t="s">
        <v>47</v>
      </c>
      <c r="O5" t="s">
        <v>41</v>
      </c>
      <c r="P5" t="s">
        <v>42</v>
      </c>
      <c r="Q5" t="s">
        <v>43</v>
      </c>
      <c r="R5">
        <v>99999</v>
      </c>
      <c r="S5" t="s">
        <v>30</v>
      </c>
      <c r="T5" t="s">
        <v>48</v>
      </c>
      <c r="U5" t="s">
        <v>49</v>
      </c>
      <c r="V5" t="s">
        <v>39</v>
      </c>
      <c r="W5">
        <v>30</v>
      </c>
      <c r="X5">
        <v>69</v>
      </c>
      <c r="Y5">
        <v>2070</v>
      </c>
      <c r="Z5">
        <v>198.72</v>
      </c>
    </row>
    <row r="6" spans="1:26" x14ac:dyDescent="0.35">
      <c r="A6">
        <v>1004</v>
      </c>
      <c r="B6">
        <v>41643</v>
      </c>
      <c r="C6">
        <v>4</v>
      </c>
      <c r="D6" t="s">
        <v>40</v>
      </c>
      <c r="E6" t="s">
        <v>41</v>
      </c>
      <c r="F6" t="s">
        <v>42</v>
      </c>
      <c r="G6" t="s">
        <v>43</v>
      </c>
      <c r="H6">
        <v>99999</v>
      </c>
      <c r="I6" t="s">
        <v>30</v>
      </c>
      <c r="J6" t="s">
        <v>44</v>
      </c>
      <c r="K6" t="s">
        <v>45</v>
      </c>
      <c r="L6">
        <v>41645</v>
      </c>
      <c r="M6" t="s">
        <v>46</v>
      </c>
      <c r="N6" t="s">
        <v>47</v>
      </c>
      <c r="O6" t="s">
        <v>41</v>
      </c>
      <c r="P6" t="s">
        <v>42</v>
      </c>
      <c r="Q6" t="s">
        <v>43</v>
      </c>
      <c r="R6">
        <v>99999</v>
      </c>
      <c r="S6" t="s">
        <v>30</v>
      </c>
      <c r="T6" t="s">
        <v>48</v>
      </c>
      <c r="U6" t="s">
        <v>50</v>
      </c>
      <c r="V6" t="s">
        <v>39</v>
      </c>
      <c r="W6">
        <v>53</v>
      </c>
      <c r="X6">
        <v>89</v>
      </c>
      <c r="Y6">
        <v>4717</v>
      </c>
      <c r="Z6">
        <v>448.11500000000001</v>
      </c>
    </row>
    <row r="7" spans="1:26" x14ac:dyDescent="0.35">
      <c r="A7">
        <v>1005</v>
      </c>
      <c r="B7">
        <v>41643</v>
      </c>
      <c r="C7">
        <v>4</v>
      </c>
      <c r="D7" t="s">
        <v>40</v>
      </c>
      <c r="E7" t="s">
        <v>41</v>
      </c>
      <c r="F7" t="s">
        <v>42</v>
      </c>
      <c r="G7" t="s">
        <v>43</v>
      </c>
      <c r="H7">
        <v>99999</v>
      </c>
      <c r="I7" t="s">
        <v>30</v>
      </c>
      <c r="J7" t="s">
        <v>44</v>
      </c>
      <c r="K7" t="s">
        <v>45</v>
      </c>
      <c r="L7">
        <v>41645</v>
      </c>
      <c r="M7" t="s">
        <v>46</v>
      </c>
      <c r="N7" t="s">
        <v>47</v>
      </c>
      <c r="O7" t="s">
        <v>41</v>
      </c>
      <c r="P7" t="s">
        <v>42</v>
      </c>
      <c r="Q7" t="s">
        <v>43</v>
      </c>
      <c r="R7">
        <v>99999</v>
      </c>
      <c r="S7" t="s">
        <v>30</v>
      </c>
      <c r="T7" t="s">
        <v>48</v>
      </c>
      <c r="U7" t="s">
        <v>38</v>
      </c>
      <c r="V7" t="s">
        <v>39</v>
      </c>
      <c r="W7">
        <v>3.5</v>
      </c>
      <c r="X7">
        <v>11</v>
      </c>
      <c r="Y7">
        <v>38.5</v>
      </c>
      <c r="Z7">
        <v>3.7345000000000002</v>
      </c>
    </row>
    <row r="8" spans="1:26" x14ac:dyDescent="0.35">
      <c r="A8">
        <v>1006</v>
      </c>
      <c r="B8">
        <v>41651</v>
      </c>
      <c r="C8">
        <v>12</v>
      </c>
      <c r="D8" t="s">
        <v>51</v>
      </c>
      <c r="E8" t="s">
        <v>52</v>
      </c>
      <c r="F8" t="s">
        <v>28</v>
      </c>
      <c r="G8" t="s">
        <v>29</v>
      </c>
      <c r="H8">
        <v>99999</v>
      </c>
      <c r="I8" t="s">
        <v>30</v>
      </c>
      <c r="J8" t="s">
        <v>31</v>
      </c>
      <c r="K8" t="s">
        <v>32</v>
      </c>
      <c r="L8">
        <v>41653</v>
      </c>
      <c r="M8" t="s">
        <v>33</v>
      </c>
      <c r="N8" t="s">
        <v>53</v>
      </c>
      <c r="O8" t="s">
        <v>52</v>
      </c>
      <c r="P8" t="s">
        <v>28</v>
      </c>
      <c r="Q8" t="s">
        <v>29</v>
      </c>
      <c r="R8">
        <v>99999</v>
      </c>
      <c r="S8" t="s">
        <v>30</v>
      </c>
      <c r="T8" t="s">
        <v>48</v>
      </c>
      <c r="U8" t="s">
        <v>54</v>
      </c>
      <c r="V8" t="s">
        <v>37</v>
      </c>
      <c r="W8">
        <v>18</v>
      </c>
      <c r="X8">
        <v>81</v>
      </c>
      <c r="Y8">
        <v>1458</v>
      </c>
      <c r="Z8">
        <v>141.42600000000002</v>
      </c>
    </row>
    <row r="9" spans="1:26" x14ac:dyDescent="0.35">
      <c r="A9">
        <v>1007</v>
      </c>
      <c r="B9">
        <v>41651</v>
      </c>
      <c r="C9">
        <v>12</v>
      </c>
      <c r="D9" t="s">
        <v>51</v>
      </c>
      <c r="E9" t="s">
        <v>52</v>
      </c>
      <c r="F9" t="s">
        <v>28</v>
      </c>
      <c r="G9" t="s">
        <v>29</v>
      </c>
      <c r="H9">
        <v>99999</v>
      </c>
      <c r="I9" t="s">
        <v>30</v>
      </c>
      <c r="J9" t="s">
        <v>31</v>
      </c>
      <c r="K9" t="s">
        <v>32</v>
      </c>
      <c r="L9">
        <v>41653</v>
      </c>
      <c r="M9" t="s">
        <v>33</v>
      </c>
      <c r="N9" t="s">
        <v>53</v>
      </c>
      <c r="O9" t="s">
        <v>52</v>
      </c>
      <c r="P9" t="s">
        <v>28</v>
      </c>
      <c r="Q9" t="s">
        <v>29</v>
      </c>
      <c r="R9">
        <v>99999</v>
      </c>
      <c r="S9" t="s">
        <v>30</v>
      </c>
      <c r="T9" t="s">
        <v>48</v>
      </c>
      <c r="U9" t="s">
        <v>55</v>
      </c>
      <c r="V9" t="s">
        <v>37</v>
      </c>
      <c r="W9">
        <v>46</v>
      </c>
      <c r="X9">
        <v>44</v>
      </c>
      <c r="Y9">
        <v>2024</v>
      </c>
      <c r="Z9">
        <v>198.352</v>
      </c>
    </row>
    <row r="10" spans="1:26" x14ac:dyDescent="0.35">
      <c r="A10">
        <v>1008</v>
      </c>
      <c r="B10">
        <v>41647</v>
      </c>
      <c r="C10">
        <v>8</v>
      </c>
      <c r="D10" t="s">
        <v>56</v>
      </c>
      <c r="E10" t="s">
        <v>57</v>
      </c>
      <c r="F10" t="s">
        <v>58</v>
      </c>
      <c r="G10" t="s">
        <v>59</v>
      </c>
      <c r="H10">
        <v>99999</v>
      </c>
      <c r="I10" t="s">
        <v>30</v>
      </c>
      <c r="J10" t="s">
        <v>60</v>
      </c>
      <c r="K10" t="s">
        <v>61</v>
      </c>
      <c r="L10">
        <v>41649</v>
      </c>
      <c r="M10" t="s">
        <v>62</v>
      </c>
      <c r="N10" t="s">
        <v>63</v>
      </c>
      <c r="O10" t="s">
        <v>57</v>
      </c>
      <c r="P10" t="s">
        <v>58</v>
      </c>
      <c r="Q10" t="s">
        <v>59</v>
      </c>
      <c r="R10">
        <v>99999</v>
      </c>
      <c r="S10" t="s">
        <v>30</v>
      </c>
      <c r="T10" t="s">
        <v>48</v>
      </c>
      <c r="U10" t="s">
        <v>64</v>
      </c>
      <c r="V10" t="s">
        <v>65</v>
      </c>
      <c r="W10">
        <v>9.1999999999999993</v>
      </c>
      <c r="X10">
        <v>38</v>
      </c>
      <c r="Y10">
        <v>349.59999999999997</v>
      </c>
      <c r="Z10">
        <v>36.008800000000001</v>
      </c>
    </row>
    <row r="11" spans="1:26" x14ac:dyDescent="0.35">
      <c r="A11">
        <v>1009</v>
      </c>
      <c r="B11">
        <v>41643</v>
      </c>
      <c r="C11">
        <v>4</v>
      </c>
      <c r="D11" t="s">
        <v>40</v>
      </c>
      <c r="E11" t="s">
        <v>41</v>
      </c>
      <c r="F11" t="s">
        <v>42</v>
      </c>
      <c r="G11" t="s">
        <v>43</v>
      </c>
      <c r="H11">
        <v>99999</v>
      </c>
      <c r="I11" t="s">
        <v>30</v>
      </c>
      <c r="J11" t="s">
        <v>44</v>
      </c>
      <c r="K11" t="s">
        <v>45</v>
      </c>
      <c r="L11">
        <v>41645</v>
      </c>
      <c r="M11" t="s">
        <v>62</v>
      </c>
      <c r="N11" t="s">
        <v>47</v>
      </c>
      <c r="O11" t="s">
        <v>41</v>
      </c>
      <c r="P11" t="s">
        <v>42</v>
      </c>
      <c r="Q11" t="s">
        <v>43</v>
      </c>
      <c r="R11">
        <v>99999</v>
      </c>
      <c r="S11" t="s">
        <v>30</v>
      </c>
      <c r="T11" t="s">
        <v>35</v>
      </c>
      <c r="U11" t="s">
        <v>64</v>
      </c>
      <c r="V11" t="s">
        <v>65</v>
      </c>
      <c r="W11">
        <v>9.1999999999999993</v>
      </c>
      <c r="X11">
        <v>88</v>
      </c>
      <c r="Y11">
        <v>809.59999999999991</v>
      </c>
      <c r="Z11">
        <v>79.340799999999987</v>
      </c>
    </row>
    <row r="12" spans="1:26" x14ac:dyDescent="0.35">
      <c r="A12">
        <v>1010</v>
      </c>
      <c r="B12">
        <v>41668</v>
      </c>
      <c r="C12">
        <v>29</v>
      </c>
      <c r="D12" t="s">
        <v>66</v>
      </c>
      <c r="E12" t="s">
        <v>67</v>
      </c>
      <c r="F12" t="s">
        <v>68</v>
      </c>
      <c r="G12" t="s">
        <v>69</v>
      </c>
      <c r="H12">
        <v>99999</v>
      </c>
      <c r="I12" t="s">
        <v>30</v>
      </c>
      <c r="J12" t="s">
        <v>70</v>
      </c>
      <c r="K12" t="s">
        <v>32</v>
      </c>
      <c r="L12">
        <v>41670</v>
      </c>
      <c r="M12" t="s">
        <v>33</v>
      </c>
      <c r="N12" t="s">
        <v>71</v>
      </c>
      <c r="O12" t="s">
        <v>67</v>
      </c>
      <c r="P12" t="s">
        <v>68</v>
      </c>
      <c r="Q12" t="s">
        <v>69</v>
      </c>
      <c r="R12">
        <v>99999</v>
      </c>
      <c r="S12" t="s">
        <v>30</v>
      </c>
      <c r="T12" t="s">
        <v>35</v>
      </c>
      <c r="U12" t="s">
        <v>72</v>
      </c>
      <c r="V12" t="s">
        <v>73</v>
      </c>
      <c r="W12">
        <v>12.75</v>
      </c>
      <c r="X12">
        <v>94</v>
      </c>
      <c r="Y12">
        <v>1198.5</v>
      </c>
      <c r="Z12">
        <v>122.24700000000001</v>
      </c>
    </row>
    <row r="13" spans="1:26" x14ac:dyDescent="0.35">
      <c r="A13">
        <v>1011</v>
      </c>
      <c r="B13">
        <v>41642</v>
      </c>
      <c r="C13">
        <v>3</v>
      </c>
      <c r="D13" t="s">
        <v>74</v>
      </c>
      <c r="E13" t="s">
        <v>75</v>
      </c>
      <c r="F13" t="s">
        <v>76</v>
      </c>
      <c r="G13" t="s">
        <v>77</v>
      </c>
      <c r="H13">
        <v>99999</v>
      </c>
      <c r="I13" t="s">
        <v>30</v>
      </c>
      <c r="J13" t="s">
        <v>31</v>
      </c>
      <c r="K13" t="s">
        <v>32</v>
      </c>
      <c r="L13">
        <v>41644</v>
      </c>
      <c r="M13" t="s">
        <v>33</v>
      </c>
      <c r="N13" t="s">
        <v>78</v>
      </c>
      <c r="O13" t="s">
        <v>75</v>
      </c>
      <c r="P13" t="s">
        <v>76</v>
      </c>
      <c r="Q13" t="s">
        <v>77</v>
      </c>
      <c r="R13">
        <v>99999</v>
      </c>
      <c r="S13" t="s">
        <v>30</v>
      </c>
      <c r="T13" t="s">
        <v>79</v>
      </c>
      <c r="U13" t="s">
        <v>80</v>
      </c>
      <c r="V13" t="s">
        <v>81</v>
      </c>
      <c r="W13">
        <v>9.65</v>
      </c>
      <c r="X13">
        <v>91</v>
      </c>
      <c r="Y13">
        <v>878.15</v>
      </c>
      <c r="Z13">
        <v>92.205749999999995</v>
      </c>
    </row>
    <row r="14" spans="1:26" x14ac:dyDescent="0.35">
      <c r="A14">
        <v>1012</v>
      </c>
      <c r="B14">
        <v>41645</v>
      </c>
      <c r="C14">
        <v>6</v>
      </c>
      <c r="D14" t="s">
        <v>82</v>
      </c>
      <c r="E14" t="s">
        <v>83</v>
      </c>
      <c r="F14" t="s">
        <v>84</v>
      </c>
      <c r="G14" t="s">
        <v>85</v>
      </c>
      <c r="H14">
        <v>99999</v>
      </c>
      <c r="I14" t="s">
        <v>30</v>
      </c>
      <c r="J14" t="s">
        <v>86</v>
      </c>
      <c r="K14" t="s">
        <v>61</v>
      </c>
      <c r="L14">
        <v>41647</v>
      </c>
      <c r="M14" t="s">
        <v>33</v>
      </c>
      <c r="N14" t="s">
        <v>87</v>
      </c>
      <c r="O14" t="s">
        <v>83</v>
      </c>
      <c r="P14" t="s">
        <v>84</v>
      </c>
      <c r="Q14" t="s">
        <v>85</v>
      </c>
      <c r="R14">
        <v>99999</v>
      </c>
      <c r="S14" t="s">
        <v>30</v>
      </c>
      <c r="T14" t="s">
        <v>48</v>
      </c>
      <c r="U14" t="s">
        <v>88</v>
      </c>
      <c r="V14" t="s">
        <v>89</v>
      </c>
      <c r="W14">
        <v>40</v>
      </c>
      <c r="X14">
        <v>32</v>
      </c>
      <c r="Y14">
        <v>1280</v>
      </c>
      <c r="Z14">
        <v>133.12</v>
      </c>
    </row>
    <row r="15" spans="1:26" x14ac:dyDescent="0.35">
      <c r="A15">
        <v>1013</v>
      </c>
      <c r="B15">
        <v>41667</v>
      </c>
      <c r="C15">
        <v>28</v>
      </c>
      <c r="D15" t="s">
        <v>90</v>
      </c>
      <c r="E15" t="s">
        <v>91</v>
      </c>
      <c r="F15" t="s">
        <v>92</v>
      </c>
      <c r="G15" t="s">
        <v>93</v>
      </c>
      <c r="H15">
        <v>99999</v>
      </c>
      <c r="I15" t="s">
        <v>30</v>
      </c>
      <c r="J15" t="s">
        <v>94</v>
      </c>
      <c r="K15" t="s">
        <v>95</v>
      </c>
      <c r="L15">
        <v>41669</v>
      </c>
      <c r="M15" t="s">
        <v>62</v>
      </c>
      <c r="N15" t="s">
        <v>96</v>
      </c>
      <c r="O15" t="s">
        <v>91</v>
      </c>
      <c r="P15" t="s">
        <v>92</v>
      </c>
      <c r="Q15" t="s">
        <v>93</v>
      </c>
      <c r="R15">
        <v>99999</v>
      </c>
      <c r="S15" t="s">
        <v>30</v>
      </c>
      <c r="T15" t="s">
        <v>35</v>
      </c>
      <c r="U15" t="s">
        <v>55</v>
      </c>
      <c r="V15" t="s">
        <v>37</v>
      </c>
      <c r="W15">
        <v>46</v>
      </c>
      <c r="X15">
        <v>55</v>
      </c>
      <c r="Y15">
        <v>2530</v>
      </c>
      <c r="Z15">
        <v>253</v>
      </c>
    </row>
    <row r="16" spans="1:26" x14ac:dyDescent="0.35">
      <c r="A16">
        <v>1014</v>
      </c>
      <c r="B16">
        <v>41647</v>
      </c>
      <c r="C16">
        <v>8</v>
      </c>
      <c r="D16" t="s">
        <v>56</v>
      </c>
      <c r="E16" t="s">
        <v>57</v>
      </c>
      <c r="F16" t="s">
        <v>58</v>
      </c>
      <c r="G16" t="s">
        <v>59</v>
      </c>
      <c r="H16">
        <v>99999</v>
      </c>
      <c r="I16" t="s">
        <v>30</v>
      </c>
      <c r="J16" t="s">
        <v>60</v>
      </c>
      <c r="K16" t="s">
        <v>61</v>
      </c>
      <c r="L16">
        <v>41649</v>
      </c>
      <c r="M16" t="s">
        <v>62</v>
      </c>
      <c r="N16" t="s">
        <v>63</v>
      </c>
      <c r="O16" t="s">
        <v>57</v>
      </c>
      <c r="P16" t="s">
        <v>58</v>
      </c>
      <c r="Q16" t="s">
        <v>59</v>
      </c>
      <c r="R16">
        <v>99999</v>
      </c>
      <c r="S16" t="s">
        <v>30</v>
      </c>
      <c r="T16" t="s">
        <v>35</v>
      </c>
      <c r="U16" t="s">
        <v>72</v>
      </c>
      <c r="V16" t="s">
        <v>73</v>
      </c>
      <c r="W16">
        <v>12.75</v>
      </c>
      <c r="X16">
        <v>47</v>
      </c>
      <c r="Y16">
        <v>599.25</v>
      </c>
      <c r="Z16">
        <v>61.722750000000005</v>
      </c>
    </row>
    <row r="17" spans="1:26" x14ac:dyDescent="0.35">
      <c r="A17">
        <v>1015</v>
      </c>
      <c r="B17">
        <v>41649</v>
      </c>
      <c r="C17">
        <v>10</v>
      </c>
      <c r="D17" t="s">
        <v>97</v>
      </c>
      <c r="E17" t="s">
        <v>98</v>
      </c>
      <c r="F17" t="s">
        <v>99</v>
      </c>
      <c r="G17" t="s">
        <v>100</v>
      </c>
      <c r="H17">
        <v>99999</v>
      </c>
      <c r="I17" t="s">
        <v>30</v>
      </c>
      <c r="J17" t="s">
        <v>101</v>
      </c>
      <c r="K17" t="s">
        <v>45</v>
      </c>
      <c r="L17">
        <v>41651</v>
      </c>
      <c r="M17" t="s">
        <v>33</v>
      </c>
      <c r="N17" t="s">
        <v>102</v>
      </c>
      <c r="O17" t="s">
        <v>98</v>
      </c>
      <c r="P17" t="s">
        <v>99</v>
      </c>
      <c r="Q17" t="s">
        <v>100</v>
      </c>
      <c r="R17">
        <v>99999</v>
      </c>
      <c r="S17" t="s">
        <v>30</v>
      </c>
      <c r="T17" t="s">
        <v>48</v>
      </c>
      <c r="U17" t="s">
        <v>103</v>
      </c>
      <c r="V17" t="s">
        <v>37</v>
      </c>
      <c r="W17">
        <v>2.99</v>
      </c>
      <c r="X17">
        <v>90</v>
      </c>
      <c r="Y17">
        <v>269.10000000000002</v>
      </c>
      <c r="Z17">
        <v>27.717300000000005</v>
      </c>
    </row>
    <row r="18" spans="1:26" x14ac:dyDescent="0.35">
      <c r="A18">
        <v>1016</v>
      </c>
      <c r="B18">
        <v>41646</v>
      </c>
      <c r="C18">
        <v>7</v>
      </c>
      <c r="D18" t="s">
        <v>104</v>
      </c>
      <c r="E18" t="s">
        <v>105</v>
      </c>
      <c r="F18" t="s">
        <v>106</v>
      </c>
      <c r="G18" t="s">
        <v>107</v>
      </c>
      <c r="H18">
        <v>99999</v>
      </c>
      <c r="I18" t="s">
        <v>30</v>
      </c>
      <c r="J18" t="s">
        <v>60</v>
      </c>
      <c r="K18" t="s">
        <v>61</v>
      </c>
      <c r="N18" t="s">
        <v>108</v>
      </c>
      <c r="O18" t="s">
        <v>105</v>
      </c>
      <c r="P18" t="s">
        <v>106</v>
      </c>
      <c r="Q18" t="s">
        <v>107</v>
      </c>
      <c r="R18">
        <v>99999</v>
      </c>
      <c r="S18" t="s">
        <v>30</v>
      </c>
      <c r="U18" t="s">
        <v>55</v>
      </c>
      <c r="V18" t="s">
        <v>37</v>
      </c>
      <c r="W18">
        <v>46</v>
      </c>
      <c r="X18">
        <v>24</v>
      </c>
      <c r="Y18">
        <v>1104</v>
      </c>
      <c r="Z18">
        <v>110.4</v>
      </c>
    </row>
    <row r="19" spans="1:26" x14ac:dyDescent="0.35">
      <c r="A19">
        <v>1017</v>
      </c>
      <c r="B19">
        <v>41649</v>
      </c>
      <c r="C19">
        <v>10</v>
      </c>
      <c r="D19" t="s">
        <v>97</v>
      </c>
      <c r="E19" t="s">
        <v>98</v>
      </c>
      <c r="F19" t="s">
        <v>99</v>
      </c>
      <c r="G19" t="s">
        <v>100</v>
      </c>
      <c r="H19">
        <v>99999</v>
      </c>
      <c r="I19" t="s">
        <v>30</v>
      </c>
      <c r="J19" t="s">
        <v>101</v>
      </c>
      <c r="K19" t="s">
        <v>45</v>
      </c>
      <c r="L19">
        <v>41651</v>
      </c>
      <c r="M19" t="s">
        <v>46</v>
      </c>
      <c r="N19" t="s">
        <v>102</v>
      </c>
      <c r="O19" t="s">
        <v>98</v>
      </c>
      <c r="P19" t="s">
        <v>99</v>
      </c>
      <c r="Q19" t="s">
        <v>100</v>
      </c>
      <c r="R19">
        <v>99999</v>
      </c>
      <c r="S19" t="s">
        <v>30</v>
      </c>
      <c r="U19" t="s">
        <v>109</v>
      </c>
      <c r="V19" t="s">
        <v>110</v>
      </c>
      <c r="W19">
        <v>25</v>
      </c>
      <c r="X19">
        <v>34</v>
      </c>
      <c r="Y19">
        <v>850</v>
      </c>
      <c r="Z19">
        <v>80.75</v>
      </c>
    </row>
    <row r="20" spans="1:26" x14ac:dyDescent="0.35">
      <c r="A20">
        <v>1018</v>
      </c>
      <c r="B20">
        <v>41649</v>
      </c>
      <c r="C20">
        <v>10</v>
      </c>
      <c r="D20" t="s">
        <v>97</v>
      </c>
      <c r="E20" t="s">
        <v>98</v>
      </c>
      <c r="F20" t="s">
        <v>99</v>
      </c>
      <c r="G20" t="s">
        <v>100</v>
      </c>
      <c r="H20">
        <v>99999</v>
      </c>
      <c r="I20" t="s">
        <v>30</v>
      </c>
      <c r="J20" t="s">
        <v>101</v>
      </c>
      <c r="K20" t="s">
        <v>45</v>
      </c>
      <c r="L20">
        <v>41651</v>
      </c>
      <c r="M20" t="s">
        <v>46</v>
      </c>
      <c r="N20" t="s">
        <v>102</v>
      </c>
      <c r="O20" t="s">
        <v>98</v>
      </c>
      <c r="P20" t="s">
        <v>99</v>
      </c>
      <c r="Q20" t="s">
        <v>100</v>
      </c>
      <c r="R20">
        <v>99999</v>
      </c>
      <c r="S20" t="s">
        <v>30</v>
      </c>
      <c r="U20" t="s">
        <v>111</v>
      </c>
      <c r="V20" t="s">
        <v>112</v>
      </c>
      <c r="W20">
        <v>22</v>
      </c>
      <c r="X20">
        <v>17</v>
      </c>
      <c r="Y20">
        <v>374</v>
      </c>
      <c r="Z20">
        <v>35.903999999999996</v>
      </c>
    </row>
    <row r="21" spans="1:26" x14ac:dyDescent="0.35">
      <c r="A21">
        <v>1019</v>
      </c>
      <c r="B21">
        <v>41649</v>
      </c>
      <c r="C21">
        <v>10</v>
      </c>
      <c r="D21" t="s">
        <v>97</v>
      </c>
      <c r="E21" t="s">
        <v>98</v>
      </c>
      <c r="F21" t="s">
        <v>99</v>
      </c>
      <c r="G21" t="s">
        <v>100</v>
      </c>
      <c r="H21">
        <v>99999</v>
      </c>
      <c r="I21" t="s">
        <v>30</v>
      </c>
      <c r="J21" t="s">
        <v>101</v>
      </c>
      <c r="K21" t="s">
        <v>45</v>
      </c>
      <c r="L21">
        <v>41651</v>
      </c>
      <c r="M21" t="s">
        <v>46</v>
      </c>
      <c r="N21" t="s">
        <v>102</v>
      </c>
      <c r="O21" t="s">
        <v>98</v>
      </c>
      <c r="P21" t="s">
        <v>99</v>
      </c>
      <c r="Q21" t="s">
        <v>100</v>
      </c>
      <c r="R21">
        <v>99999</v>
      </c>
      <c r="S21" t="s">
        <v>30</v>
      </c>
      <c r="U21" t="s">
        <v>64</v>
      </c>
      <c r="V21" t="s">
        <v>65</v>
      </c>
      <c r="W21">
        <v>9.1999999999999993</v>
      </c>
      <c r="X21">
        <v>44</v>
      </c>
      <c r="Y21">
        <v>404.79999999999995</v>
      </c>
      <c r="Z21">
        <v>42.099199999999996</v>
      </c>
    </row>
    <row r="22" spans="1:26" x14ac:dyDescent="0.35">
      <c r="A22">
        <v>1020</v>
      </c>
      <c r="B22">
        <v>41650</v>
      </c>
      <c r="C22">
        <v>11</v>
      </c>
      <c r="D22" t="s">
        <v>113</v>
      </c>
      <c r="E22" t="s">
        <v>114</v>
      </c>
      <c r="F22" t="s">
        <v>115</v>
      </c>
      <c r="G22" t="s">
        <v>116</v>
      </c>
      <c r="H22">
        <v>99999</v>
      </c>
      <c r="I22" t="s">
        <v>30</v>
      </c>
      <c r="J22" t="s">
        <v>94</v>
      </c>
      <c r="K22" t="s">
        <v>95</v>
      </c>
      <c r="M22" t="s">
        <v>62</v>
      </c>
      <c r="N22" t="s">
        <v>117</v>
      </c>
      <c r="O22" t="s">
        <v>114</v>
      </c>
      <c r="P22" t="s">
        <v>115</v>
      </c>
      <c r="Q22" t="s">
        <v>116</v>
      </c>
      <c r="R22">
        <v>99999</v>
      </c>
      <c r="S22" t="s">
        <v>30</v>
      </c>
      <c r="U22" t="s">
        <v>38</v>
      </c>
      <c r="V22" t="s">
        <v>39</v>
      </c>
      <c r="W22">
        <v>3.5</v>
      </c>
      <c r="X22">
        <v>81</v>
      </c>
      <c r="Y22">
        <v>283.5</v>
      </c>
      <c r="Z22">
        <v>27.499500000000001</v>
      </c>
    </row>
    <row r="23" spans="1:26" x14ac:dyDescent="0.35">
      <c r="A23">
        <v>1021</v>
      </c>
      <c r="B23">
        <v>41650</v>
      </c>
      <c r="C23">
        <v>11</v>
      </c>
      <c r="D23" t="s">
        <v>113</v>
      </c>
      <c r="E23" t="s">
        <v>114</v>
      </c>
      <c r="F23" t="s">
        <v>115</v>
      </c>
      <c r="G23" t="s">
        <v>116</v>
      </c>
      <c r="H23">
        <v>99999</v>
      </c>
      <c r="I23" t="s">
        <v>30</v>
      </c>
      <c r="J23" t="s">
        <v>94</v>
      </c>
      <c r="K23" t="s">
        <v>95</v>
      </c>
      <c r="M23" t="s">
        <v>62</v>
      </c>
      <c r="N23" t="s">
        <v>117</v>
      </c>
      <c r="O23" t="s">
        <v>114</v>
      </c>
      <c r="P23" t="s">
        <v>115</v>
      </c>
      <c r="Q23" t="s">
        <v>116</v>
      </c>
      <c r="R23">
        <v>99999</v>
      </c>
      <c r="S23" t="s">
        <v>30</v>
      </c>
      <c r="U23" t="s">
        <v>103</v>
      </c>
      <c r="V23" t="s">
        <v>37</v>
      </c>
      <c r="W23">
        <v>2.99</v>
      </c>
      <c r="X23">
        <v>49</v>
      </c>
      <c r="Y23">
        <v>146.51000000000002</v>
      </c>
      <c r="Z23">
        <v>15.090530000000005</v>
      </c>
    </row>
    <row r="24" spans="1:26" x14ac:dyDescent="0.35">
      <c r="A24">
        <v>1022</v>
      </c>
      <c r="B24">
        <v>41640</v>
      </c>
      <c r="C24">
        <v>1</v>
      </c>
      <c r="D24" t="s">
        <v>118</v>
      </c>
      <c r="E24" t="s">
        <v>119</v>
      </c>
      <c r="F24" t="s">
        <v>120</v>
      </c>
      <c r="G24" t="s">
        <v>121</v>
      </c>
      <c r="H24">
        <v>99999</v>
      </c>
      <c r="I24" t="s">
        <v>30</v>
      </c>
      <c r="J24" t="s">
        <v>60</v>
      </c>
      <c r="K24" t="s">
        <v>61</v>
      </c>
      <c r="N24" t="s">
        <v>122</v>
      </c>
      <c r="O24" t="s">
        <v>119</v>
      </c>
      <c r="P24" t="s">
        <v>120</v>
      </c>
      <c r="Q24" t="s">
        <v>121</v>
      </c>
      <c r="R24">
        <v>99999</v>
      </c>
      <c r="S24" t="s">
        <v>30</v>
      </c>
      <c r="U24" t="s">
        <v>54</v>
      </c>
      <c r="V24" t="s">
        <v>37</v>
      </c>
      <c r="W24">
        <v>18</v>
      </c>
      <c r="X24">
        <v>42</v>
      </c>
      <c r="Y24">
        <v>756</v>
      </c>
      <c r="Z24">
        <v>75.600000000000009</v>
      </c>
    </row>
    <row r="25" spans="1:26" x14ac:dyDescent="0.35">
      <c r="A25">
        <v>1023</v>
      </c>
      <c r="B25">
        <v>41640</v>
      </c>
      <c r="C25">
        <v>1</v>
      </c>
      <c r="D25" t="s">
        <v>118</v>
      </c>
      <c r="E25" t="s">
        <v>119</v>
      </c>
      <c r="F25" t="s">
        <v>120</v>
      </c>
      <c r="G25" t="s">
        <v>121</v>
      </c>
      <c r="H25">
        <v>99999</v>
      </c>
      <c r="I25" t="s">
        <v>30</v>
      </c>
      <c r="J25" t="s">
        <v>60</v>
      </c>
      <c r="K25" t="s">
        <v>61</v>
      </c>
      <c r="N25" t="s">
        <v>122</v>
      </c>
      <c r="O25" t="s">
        <v>119</v>
      </c>
      <c r="P25" t="s">
        <v>120</v>
      </c>
      <c r="Q25" t="s">
        <v>121</v>
      </c>
      <c r="R25">
        <v>99999</v>
      </c>
      <c r="S25" t="s">
        <v>30</v>
      </c>
      <c r="U25" t="s">
        <v>55</v>
      </c>
      <c r="V25" t="s">
        <v>37</v>
      </c>
      <c r="W25">
        <v>46</v>
      </c>
      <c r="X25">
        <v>58</v>
      </c>
      <c r="Y25">
        <v>2668</v>
      </c>
      <c r="Z25">
        <v>269.46800000000002</v>
      </c>
    </row>
    <row r="26" spans="1:26" x14ac:dyDescent="0.35">
      <c r="A26">
        <v>1024</v>
      </c>
      <c r="B26">
        <v>41640</v>
      </c>
      <c r="C26">
        <v>1</v>
      </c>
      <c r="D26" t="s">
        <v>118</v>
      </c>
      <c r="E26" t="s">
        <v>119</v>
      </c>
      <c r="F26" t="s">
        <v>120</v>
      </c>
      <c r="G26" t="s">
        <v>121</v>
      </c>
      <c r="H26">
        <v>99999</v>
      </c>
      <c r="I26" t="s">
        <v>30</v>
      </c>
      <c r="J26" t="s">
        <v>60</v>
      </c>
      <c r="K26" t="s">
        <v>61</v>
      </c>
      <c r="N26" t="s">
        <v>122</v>
      </c>
      <c r="O26" t="s">
        <v>119</v>
      </c>
      <c r="P26" t="s">
        <v>120</v>
      </c>
      <c r="Q26" t="s">
        <v>121</v>
      </c>
      <c r="R26">
        <v>99999</v>
      </c>
      <c r="S26" t="s">
        <v>30</v>
      </c>
      <c r="U26" t="s">
        <v>103</v>
      </c>
      <c r="V26" t="s">
        <v>37</v>
      </c>
      <c r="W26">
        <v>2.99</v>
      </c>
      <c r="X26">
        <v>67</v>
      </c>
      <c r="Y26">
        <v>200.33</v>
      </c>
      <c r="Z26">
        <v>20.033000000000001</v>
      </c>
    </row>
    <row r="27" spans="1:26" x14ac:dyDescent="0.35">
      <c r="A27">
        <v>1025</v>
      </c>
      <c r="B27">
        <v>41667</v>
      </c>
      <c r="C27">
        <v>28</v>
      </c>
      <c r="D27" t="s">
        <v>90</v>
      </c>
      <c r="E27" t="s">
        <v>91</v>
      </c>
      <c r="F27" t="s">
        <v>92</v>
      </c>
      <c r="G27" t="s">
        <v>93</v>
      </c>
      <c r="H27">
        <v>99999</v>
      </c>
      <c r="I27" t="s">
        <v>30</v>
      </c>
      <c r="J27" t="s">
        <v>94</v>
      </c>
      <c r="K27" t="s">
        <v>95</v>
      </c>
      <c r="L27">
        <v>41669</v>
      </c>
      <c r="M27" t="s">
        <v>62</v>
      </c>
      <c r="N27" t="s">
        <v>96</v>
      </c>
      <c r="O27" t="s">
        <v>91</v>
      </c>
      <c r="P27" t="s">
        <v>92</v>
      </c>
      <c r="Q27" t="s">
        <v>93</v>
      </c>
      <c r="R27">
        <v>99999</v>
      </c>
      <c r="S27" t="s">
        <v>30</v>
      </c>
      <c r="T27" t="s">
        <v>48</v>
      </c>
      <c r="U27" t="s">
        <v>80</v>
      </c>
      <c r="V27" t="s">
        <v>81</v>
      </c>
      <c r="W27">
        <v>9.65</v>
      </c>
      <c r="X27">
        <v>100</v>
      </c>
      <c r="Y27">
        <v>965</v>
      </c>
      <c r="Z27">
        <v>93.605000000000004</v>
      </c>
    </row>
    <row r="28" spans="1:26" x14ac:dyDescent="0.35">
      <c r="A28">
        <v>1026</v>
      </c>
      <c r="B28">
        <v>41667</v>
      </c>
      <c r="C28">
        <v>28</v>
      </c>
      <c r="D28" t="s">
        <v>90</v>
      </c>
      <c r="E28" t="s">
        <v>91</v>
      </c>
      <c r="F28" t="s">
        <v>92</v>
      </c>
      <c r="G28" t="s">
        <v>93</v>
      </c>
      <c r="H28">
        <v>99999</v>
      </c>
      <c r="I28" t="s">
        <v>30</v>
      </c>
      <c r="J28" t="s">
        <v>94</v>
      </c>
      <c r="K28" t="s">
        <v>95</v>
      </c>
      <c r="L28">
        <v>41669</v>
      </c>
      <c r="M28" t="s">
        <v>62</v>
      </c>
      <c r="N28" t="s">
        <v>96</v>
      </c>
      <c r="O28" t="s">
        <v>91</v>
      </c>
      <c r="P28" t="s">
        <v>92</v>
      </c>
      <c r="Q28" t="s">
        <v>93</v>
      </c>
      <c r="R28">
        <v>99999</v>
      </c>
      <c r="S28" t="s">
        <v>30</v>
      </c>
      <c r="T28" t="s">
        <v>48</v>
      </c>
      <c r="U28" t="s">
        <v>123</v>
      </c>
      <c r="V28" t="s">
        <v>124</v>
      </c>
      <c r="W28">
        <v>18.399999999999999</v>
      </c>
      <c r="X28">
        <v>63</v>
      </c>
      <c r="Y28">
        <v>1159.1999999999998</v>
      </c>
      <c r="Z28">
        <v>114.76079999999999</v>
      </c>
    </row>
    <row r="29" spans="1:26" x14ac:dyDescent="0.35">
      <c r="A29">
        <v>1027</v>
      </c>
      <c r="B29">
        <v>41648</v>
      </c>
      <c r="C29">
        <v>9</v>
      </c>
      <c r="D29" t="s">
        <v>125</v>
      </c>
      <c r="E29" t="s">
        <v>126</v>
      </c>
      <c r="F29" t="s">
        <v>127</v>
      </c>
      <c r="G29" t="s">
        <v>128</v>
      </c>
      <c r="H29">
        <v>99999</v>
      </c>
      <c r="I29" t="s">
        <v>30</v>
      </c>
      <c r="J29" t="s">
        <v>129</v>
      </c>
      <c r="K29" t="s">
        <v>32</v>
      </c>
      <c r="L29">
        <v>41650</v>
      </c>
      <c r="M29" t="s">
        <v>46</v>
      </c>
      <c r="N29" t="s">
        <v>130</v>
      </c>
      <c r="O29" t="s">
        <v>126</v>
      </c>
      <c r="P29" t="s">
        <v>127</v>
      </c>
      <c r="Q29" t="s">
        <v>128</v>
      </c>
      <c r="R29">
        <v>99999</v>
      </c>
      <c r="S29" t="s">
        <v>30</v>
      </c>
      <c r="T29" t="s">
        <v>35</v>
      </c>
      <c r="U29" t="s">
        <v>131</v>
      </c>
      <c r="V29" t="s">
        <v>132</v>
      </c>
      <c r="W29">
        <v>19.5</v>
      </c>
      <c r="X29">
        <v>57</v>
      </c>
      <c r="Y29">
        <v>1111.5</v>
      </c>
      <c r="Z29">
        <v>110.0385</v>
      </c>
    </row>
    <row r="30" spans="1:26" x14ac:dyDescent="0.35">
      <c r="A30">
        <v>1028</v>
      </c>
      <c r="B30">
        <v>41648</v>
      </c>
      <c r="C30">
        <v>9</v>
      </c>
      <c r="D30" t="s">
        <v>125</v>
      </c>
      <c r="E30" t="s">
        <v>126</v>
      </c>
      <c r="F30" t="s">
        <v>127</v>
      </c>
      <c r="G30" t="s">
        <v>128</v>
      </c>
      <c r="H30">
        <v>99999</v>
      </c>
      <c r="I30" t="s">
        <v>30</v>
      </c>
      <c r="J30" t="s">
        <v>129</v>
      </c>
      <c r="K30" t="s">
        <v>32</v>
      </c>
      <c r="L30">
        <v>41650</v>
      </c>
      <c r="M30" t="s">
        <v>46</v>
      </c>
      <c r="N30" t="s">
        <v>130</v>
      </c>
      <c r="O30" t="s">
        <v>126</v>
      </c>
      <c r="P30" t="s">
        <v>127</v>
      </c>
      <c r="Q30" t="s">
        <v>128</v>
      </c>
      <c r="R30">
        <v>99999</v>
      </c>
      <c r="S30" t="s">
        <v>30</v>
      </c>
      <c r="T30" t="s">
        <v>35</v>
      </c>
      <c r="U30" t="s">
        <v>133</v>
      </c>
      <c r="V30" t="s">
        <v>134</v>
      </c>
      <c r="W30">
        <v>34.799999999999997</v>
      </c>
      <c r="X30">
        <v>81</v>
      </c>
      <c r="Y30">
        <v>2818.7999999999997</v>
      </c>
      <c r="Z30">
        <v>295.97399999999999</v>
      </c>
    </row>
    <row r="31" spans="1:26" x14ac:dyDescent="0.35">
      <c r="A31">
        <v>1029</v>
      </c>
      <c r="B31">
        <v>41645</v>
      </c>
      <c r="C31">
        <v>6</v>
      </c>
      <c r="D31" t="s">
        <v>82</v>
      </c>
      <c r="E31" t="s">
        <v>83</v>
      </c>
      <c r="F31" t="s">
        <v>84</v>
      </c>
      <c r="G31" t="s">
        <v>85</v>
      </c>
      <c r="H31">
        <v>99999</v>
      </c>
      <c r="I31" t="s">
        <v>30</v>
      </c>
      <c r="J31" t="s">
        <v>86</v>
      </c>
      <c r="K31" t="s">
        <v>61</v>
      </c>
      <c r="L31">
        <v>41647</v>
      </c>
      <c r="M31" t="s">
        <v>33</v>
      </c>
      <c r="N31" t="s">
        <v>87</v>
      </c>
      <c r="O31" t="s">
        <v>83</v>
      </c>
      <c r="P31" t="s">
        <v>84</v>
      </c>
      <c r="Q31" t="s">
        <v>85</v>
      </c>
      <c r="R31">
        <v>99999</v>
      </c>
      <c r="S31" t="s">
        <v>30</v>
      </c>
      <c r="T31" t="s">
        <v>48</v>
      </c>
      <c r="U31" t="s">
        <v>36</v>
      </c>
      <c r="V31" t="s">
        <v>37</v>
      </c>
      <c r="W31">
        <v>14</v>
      </c>
      <c r="X31">
        <v>71</v>
      </c>
      <c r="Y31">
        <v>994</v>
      </c>
      <c r="Z31">
        <v>95.424000000000007</v>
      </c>
    </row>
    <row r="32" spans="1:26" x14ac:dyDescent="0.35">
      <c r="A32">
        <v>1030</v>
      </c>
      <c r="B32">
        <v>41678</v>
      </c>
      <c r="C32">
        <v>8</v>
      </c>
      <c r="D32" t="s">
        <v>56</v>
      </c>
      <c r="E32" t="s">
        <v>57</v>
      </c>
      <c r="F32" t="s">
        <v>58</v>
      </c>
      <c r="G32" t="s">
        <v>59</v>
      </c>
      <c r="H32">
        <v>99999</v>
      </c>
      <c r="I32" t="s">
        <v>30</v>
      </c>
      <c r="J32" t="s">
        <v>60</v>
      </c>
      <c r="K32" t="s">
        <v>61</v>
      </c>
      <c r="L32">
        <v>41680</v>
      </c>
      <c r="M32" t="s">
        <v>33</v>
      </c>
      <c r="N32" t="s">
        <v>63</v>
      </c>
      <c r="O32" t="s">
        <v>57</v>
      </c>
      <c r="P32" t="s">
        <v>58</v>
      </c>
      <c r="Q32" t="s">
        <v>59</v>
      </c>
      <c r="R32">
        <v>99999</v>
      </c>
      <c r="S32" t="s">
        <v>30</v>
      </c>
      <c r="T32" t="s">
        <v>35</v>
      </c>
      <c r="U32" t="s">
        <v>88</v>
      </c>
      <c r="V32" t="s">
        <v>89</v>
      </c>
      <c r="W32">
        <v>40</v>
      </c>
      <c r="X32">
        <v>32</v>
      </c>
      <c r="Y32">
        <v>1280</v>
      </c>
      <c r="Z32">
        <v>129.28</v>
      </c>
    </row>
    <row r="33" spans="1:26" x14ac:dyDescent="0.35">
      <c r="A33">
        <v>1031</v>
      </c>
      <c r="B33">
        <v>41673</v>
      </c>
      <c r="C33">
        <v>3</v>
      </c>
      <c r="D33" t="s">
        <v>74</v>
      </c>
      <c r="E33" t="s">
        <v>75</v>
      </c>
      <c r="F33" t="s">
        <v>76</v>
      </c>
      <c r="G33" t="s">
        <v>77</v>
      </c>
      <c r="H33">
        <v>99999</v>
      </c>
      <c r="I33" t="s">
        <v>30</v>
      </c>
      <c r="J33" t="s">
        <v>31</v>
      </c>
      <c r="K33" t="s">
        <v>32</v>
      </c>
      <c r="L33">
        <v>41675</v>
      </c>
      <c r="M33" t="s">
        <v>33</v>
      </c>
      <c r="N33" t="s">
        <v>78</v>
      </c>
      <c r="O33" t="s">
        <v>75</v>
      </c>
      <c r="P33" t="s">
        <v>76</v>
      </c>
      <c r="Q33" t="s">
        <v>77</v>
      </c>
      <c r="R33">
        <v>99999</v>
      </c>
      <c r="S33" t="s">
        <v>30</v>
      </c>
      <c r="T33" t="s">
        <v>79</v>
      </c>
      <c r="U33" t="s">
        <v>135</v>
      </c>
      <c r="V33" t="s">
        <v>112</v>
      </c>
      <c r="W33">
        <v>10</v>
      </c>
      <c r="X33">
        <v>63</v>
      </c>
      <c r="Y33">
        <v>630</v>
      </c>
      <c r="Z33">
        <v>65.52</v>
      </c>
    </row>
    <row r="34" spans="1:26" x14ac:dyDescent="0.35">
      <c r="A34">
        <v>1032</v>
      </c>
      <c r="B34">
        <v>41673</v>
      </c>
      <c r="C34">
        <v>3</v>
      </c>
      <c r="D34" t="s">
        <v>74</v>
      </c>
      <c r="E34" t="s">
        <v>75</v>
      </c>
      <c r="F34" t="s">
        <v>76</v>
      </c>
      <c r="G34" t="s">
        <v>77</v>
      </c>
      <c r="H34">
        <v>99999</v>
      </c>
      <c r="I34" t="s">
        <v>30</v>
      </c>
      <c r="J34" t="s">
        <v>31</v>
      </c>
      <c r="K34" t="s">
        <v>32</v>
      </c>
      <c r="L34">
        <v>41675</v>
      </c>
      <c r="M34" t="s">
        <v>33</v>
      </c>
      <c r="N34" t="s">
        <v>78</v>
      </c>
      <c r="O34" t="s">
        <v>75</v>
      </c>
      <c r="P34" t="s">
        <v>76</v>
      </c>
      <c r="Q34" t="s">
        <v>77</v>
      </c>
      <c r="R34">
        <v>99999</v>
      </c>
      <c r="S34" t="s">
        <v>30</v>
      </c>
      <c r="T34" t="s">
        <v>79</v>
      </c>
      <c r="U34" t="s">
        <v>88</v>
      </c>
      <c r="V34" t="s">
        <v>89</v>
      </c>
      <c r="W34">
        <v>40</v>
      </c>
      <c r="X34">
        <v>30</v>
      </c>
      <c r="Y34">
        <v>1200</v>
      </c>
      <c r="Z34">
        <v>120</v>
      </c>
    </row>
    <row r="35" spans="1:26" x14ac:dyDescent="0.35">
      <c r="A35">
        <v>1033</v>
      </c>
      <c r="B35">
        <v>41676</v>
      </c>
      <c r="C35">
        <v>6</v>
      </c>
      <c r="D35" t="s">
        <v>82</v>
      </c>
      <c r="E35" t="s">
        <v>83</v>
      </c>
      <c r="F35" t="s">
        <v>84</v>
      </c>
      <c r="G35" t="s">
        <v>85</v>
      </c>
      <c r="H35">
        <v>99999</v>
      </c>
      <c r="I35" t="s">
        <v>30</v>
      </c>
      <c r="J35" t="s">
        <v>86</v>
      </c>
      <c r="K35" t="s">
        <v>61</v>
      </c>
      <c r="L35">
        <v>41678</v>
      </c>
      <c r="M35" t="s">
        <v>33</v>
      </c>
      <c r="N35" t="s">
        <v>87</v>
      </c>
      <c r="O35" t="s">
        <v>83</v>
      </c>
      <c r="P35" t="s">
        <v>84</v>
      </c>
      <c r="Q35" t="s">
        <v>85</v>
      </c>
      <c r="R35">
        <v>99999</v>
      </c>
      <c r="S35" t="s">
        <v>30</v>
      </c>
      <c r="T35" t="s">
        <v>48</v>
      </c>
      <c r="V35" t="s">
        <v>163</v>
      </c>
      <c r="Y35">
        <v>10</v>
      </c>
      <c r="Z35">
        <v>43</v>
      </c>
    </row>
    <row r="36" spans="1:26" x14ac:dyDescent="0.35">
      <c r="A36">
        <v>1034</v>
      </c>
      <c r="B36">
        <v>41698</v>
      </c>
      <c r="C36">
        <v>28</v>
      </c>
      <c r="D36" t="s">
        <v>90</v>
      </c>
      <c r="E36" t="s">
        <v>91</v>
      </c>
      <c r="F36" t="s">
        <v>92</v>
      </c>
      <c r="G36" t="s">
        <v>93</v>
      </c>
      <c r="H36">
        <v>99999</v>
      </c>
      <c r="I36" t="s">
        <v>30</v>
      </c>
      <c r="J36" t="s">
        <v>94</v>
      </c>
      <c r="K36" t="s">
        <v>95</v>
      </c>
      <c r="L36">
        <v>41700</v>
      </c>
      <c r="M36" t="s">
        <v>62</v>
      </c>
      <c r="N36" t="s">
        <v>96</v>
      </c>
      <c r="O36" t="s">
        <v>91</v>
      </c>
      <c r="P36" t="s">
        <v>92</v>
      </c>
      <c r="Q36" t="s">
        <v>93</v>
      </c>
      <c r="R36">
        <v>99999</v>
      </c>
      <c r="S36" t="s">
        <v>30</v>
      </c>
      <c r="T36" t="s">
        <v>35</v>
      </c>
      <c r="V36" t="s">
        <v>163</v>
      </c>
      <c r="Y36">
        <v>10</v>
      </c>
      <c r="Z36">
        <v>31</v>
      </c>
    </row>
    <row r="37" spans="1:26" x14ac:dyDescent="0.35">
      <c r="A37">
        <v>1035</v>
      </c>
      <c r="B37">
        <v>41678</v>
      </c>
      <c r="C37">
        <v>8</v>
      </c>
      <c r="D37" t="s">
        <v>56</v>
      </c>
      <c r="E37" t="s">
        <v>57</v>
      </c>
      <c r="F37" t="s">
        <v>58</v>
      </c>
      <c r="G37" t="s">
        <v>59</v>
      </c>
      <c r="H37">
        <v>99999</v>
      </c>
      <c r="I37" t="s">
        <v>30</v>
      </c>
      <c r="J37" t="s">
        <v>60</v>
      </c>
      <c r="K37" t="s">
        <v>61</v>
      </c>
      <c r="L37">
        <v>41680</v>
      </c>
      <c r="M37" t="s">
        <v>62</v>
      </c>
      <c r="N37" t="s">
        <v>63</v>
      </c>
      <c r="O37" t="s">
        <v>57</v>
      </c>
      <c r="P37" t="s">
        <v>58</v>
      </c>
      <c r="Q37" t="s">
        <v>59</v>
      </c>
      <c r="R37">
        <v>99999</v>
      </c>
      <c r="S37" t="s">
        <v>30</v>
      </c>
      <c r="T37" t="s">
        <v>35</v>
      </c>
      <c r="V37" t="s">
        <v>163</v>
      </c>
      <c r="Y37">
        <v>10</v>
      </c>
      <c r="Z37">
        <v>46</v>
      </c>
    </row>
    <row r="38" spans="1:26" x14ac:dyDescent="0.35">
      <c r="A38">
        <v>1036</v>
      </c>
      <c r="B38">
        <v>41680</v>
      </c>
      <c r="C38">
        <v>10</v>
      </c>
      <c r="D38" t="s">
        <v>97</v>
      </c>
      <c r="E38" t="s">
        <v>98</v>
      </c>
      <c r="F38" t="s">
        <v>99</v>
      </c>
      <c r="G38" t="s">
        <v>100</v>
      </c>
      <c r="H38">
        <v>99999</v>
      </c>
      <c r="I38" t="s">
        <v>30</v>
      </c>
      <c r="J38" t="s">
        <v>101</v>
      </c>
      <c r="K38" t="s">
        <v>45</v>
      </c>
      <c r="L38">
        <v>41682</v>
      </c>
      <c r="M38" t="s">
        <v>33</v>
      </c>
      <c r="N38" t="s">
        <v>102</v>
      </c>
      <c r="O38" t="s">
        <v>98</v>
      </c>
      <c r="P38" t="s">
        <v>99</v>
      </c>
      <c r="Q38" t="s">
        <v>100</v>
      </c>
      <c r="R38">
        <v>99999</v>
      </c>
      <c r="S38" t="s">
        <v>30</v>
      </c>
      <c r="T38" t="s">
        <v>48</v>
      </c>
      <c r="U38" t="s">
        <v>136</v>
      </c>
      <c r="V38" t="s">
        <v>39</v>
      </c>
      <c r="W38">
        <v>10</v>
      </c>
      <c r="X38">
        <v>47</v>
      </c>
      <c r="Y38">
        <v>470</v>
      </c>
      <c r="Z38">
        <v>48.88</v>
      </c>
    </row>
    <row r="39" spans="1:26" x14ac:dyDescent="0.35">
      <c r="A39">
        <v>1038</v>
      </c>
      <c r="B39">
        <v>41680</v>
      </c>
      <c r="C39">
        <v>10</v>
      </c>
      <c r="D39" t="s">
        <v>97</v>
      </c>
      <c r="E39" t="s">
        <v>98</v>
      </c>
      <c r="F39" t="s">
        <v>99</v>
      </c>
      <c r="G39" t="s">
        <v>100</v>
      </c>
      <c r="H39">
        <v>99999</v>
      </c>
      <c r="I39" t="s">
        <v>30</v>
      </c>
      <c r="J39" t="s">
        <v>101</v>
      </c>
      <c r="K39" t="s">
        <v>45</v>
      </c>
      <c r="M39" t="s">
        <v>46</v>
      </c>
      <c r="N39" t="s">
        <v>102</v>
      </c>
      <c r="O39" t="s">
        <v>98</v>
      </c>
      <c r="P39" t="s">
        <v>99</v>
      </c>
      <c r="Q39" t="s">
        <v>100</v>
      </c>
      <c r="R39">
        <v>99999</v>
      </c>
      <c r="S39" t="s">
        <v>30</v>
      </c>
      <c r="U39" t="s">
        <v>38</v>
      </c>
      <c r="V39" t="s">
        <v>39</v>
      </c>
      <c r="W39">
        <v>3.5</v>
      </c>
      <c r="X39">
        <v>49</v>
      </c>
      <c r="Y39">
        <v>171.5</v>
      </c>
      <c r="Z39">
        <v>16.464000000000002</v>
      </c>
    </row>
    <row r="40" spans="1:26" x14ac:dyDescent="0.35">
      <c r="A40">
        <v>1039</v>
      </c>
      <c r="B40">
        <v>41681</v>
      </c>
      <c r="C40">
        <v>11</v>
      </c>
      <c r="D40" t="s">
        <v>113</v>
      </c>
      <c r="E40" t="s">
        <v>114</v>
      </c>
      <c r="F40" t="s">
        <v>115</v>
      </c>
      <c r="G40" t="s">
        <v>116</v>
      </c>
      <c r="H40">
        <v>99999</v>
      </c>
      <c r="I40" t="s">
        <v>30</v>
      </c>
      <c r="J40" t="s">
        <v>94</v>
      </c>
      <c r="K40" t="s">
        <v>95</v>
      </c>
      <c r="M40" t="s">
        <v>62</v>
      </c>
      <c r="N40" t="s">
        <v>117</v>
      </c>
      <c r="O40" t="s">
        <v>114</v>
      </c>
      <c r="P40" t="s">
        <v>115</v>
      </c>
      <c r="Q40" t="s">
        <v>116</v>
      </c>
      <c r="R40">
        <v>99999</v>
      </c>
      <c r="S40" t="s">
        <v>30</v>
      </c>
      <c r="U40" t="s">
        <v>88</v>
      </c>
      <c r="V40" t="s">
        <v>89</v>
      </c>
      <c r="W40">
        <v>40</v>
      </c>
      <c r="X40">
        <v>72</v>
      </c>
      <c r="Y40">
        <v>2880</v>
      </c>
      <c r="Z40">
        <v>285.12</v>
      </c>
    </row>
    <row r="41" spans="1:26" x14ac:dyDescent="0.35">
      <c r="A41">
        <v>1040</v>
      </c>
      <c r="B41">
        <v>41671</v>
      </c>
      <c r="C41">
        <v>1</v>
      </c>
      <c r="D41" t="s">
        <v>118</v>
      </c>
      <c r="E41" t="s">
        <v>119</v>
      </c>
      <c r="F41" t="s">
        <v>120</v>
      </c>
      <c r="G41" t="s">
        <v>121</v>
      </c>
      <c r="H41">
        <v>99999</v>
      </c>
      <c r="I41" t="s">
        <v>30</v>
      </c>
      <c r="J41" t="s">
        <v>60</v>
      </c>
      <c r="K41" t="s">
        <v>61</v>
      </c>
      <c r="M41" t="s">
        <v>62</v>
      </c>
      <c r="N41" t="s">
        <v>122</v>
      </c>
      <c r="O41" t="s">
        <v>119</v>
      </c>
      <c r="P41" t="s">
        <v>120</v>
      </c>
      <c r="Q41" t="s">
        <v>121</v>
      </c>
      <c r="R41">
        <v>99999</v>
      </c>
      <c r="S41" t="s">
        <v>30</v>
      </c>
      <c r="U41" t="s">
        <v>123</v>
      </c>
      <c r="V41" t="s">
        <v>124</v>
      </c>
      <c r="W41">
        <v>18.399999999999999</v>
      </c>
      <c r="X41">
        <v>13</v>
      </c>
      <c r="Y41">
        <v>239.2</v>
      </c>
      <c r="Z41">
        <v>23.680800000000001</v>
      </c>
    </row>
    <row r="42" spans="1:26" x14ac:dyDescent="0.35">
      <c r="A42">
        <v>1041</v>
      </c>
      <c r="B42">
        <v>41698</v>
      </c>
      <c r="C42">
        <v>28</v>
      </c>
      <c r="D42" t="s">
        <v>90</v>
      </c>
      <c r="E42" t="s">
        <v>91</v>
      </c>
      <c r="F42" t="s">
        <v>92</v>
      </c>
      <c r="G42" t="s">
        <v>93</v>
      </c>
      <c r="H42">
        <v>99999</v>
      </c>
      <c r="I42" t="s">
        <v>30</v>
      </c>
      <c r="J42" t="s">
        <v>94</v>
      </c>
      <c r="K42" t="s">
        <v>95</v>
      </c>
      <c r="L42">
        <v>41700</v>
      </c>
      <c r="M42" t="s">
        <v>62</v>
      </c>
      <c r="N42" t="s">
        <v>96</v>
      </c>
      <c r="O42" t="s">
        <v>91</v>
      </c>
      <c r="P42" t="s">
        <v>92</v>
      </c>
      <c r="Q42" t="s">
        <v>93</v>
      </c>
      <c r="R42">
        <v>99999</v>
      </c>
      <c r="S42" t="s">
        <v>30</v>
      </c>
      <c r="T42" t="s">
        <v>48</v>
      </c>
      <c r="U42" t="s">
        <v>55</v>
      </c>
      <c r="V42" t="s">
        <v>37</v>
      </c>
      <c r="W42">
        <v>46</v>
      </c>
      <c r="X42">
        <v>32</v>
      </c>
      <c r="Y42">
        <v>1472</v>
      </c>
      <c r="Z42">
        <v>148.67200000000003</v>
      </c>
    </row>
    <row r="43" spans="1:26" x14ac:dyDescent="0.35">
      <c r="A43">
        <v>1042</v>
      </c>
      <c r="B43">
        <v>41679</v>
      </c>
      <c r="C43">
        <v>9</v>
      </c>
      <c r="D43" t="s">
        <v>125</v>
      </c>
      <c r="E43" t="s">
        <v>126</v>
      </c>
      <c r="F43" t="s">
        <v>127</v>
      </c>
      <c r="G43" t="s">
        <v>128</v>
      </c>
      <c r="H43">
        <v>99999</v>
      </c>
      <c r="I43" t="s">
        <v>30</v>
      </c>
      <c r="J43" t="s">
        <v>129</v>
      </c>
      <c r="K43" t="s">
        <v>32</v>
      </c>
      <c r="L43">
        <v>41681</v>
      </c>
      <c r="M43" t="s">
        <v>46</v>
      </c>
      <c r="N43" t="s">
        <v>130</v>
      </c>
      <c r="O43" t="s">
        <v>126</v>
      </c>
      <c r="P43" t="s">
        <v>127</v>
      </c>
      <c r="Q43" t="s">
        <v>128</v>
      </c>
      <c r="R43">
        <v>99999</v>
      </c>
      <c r="S43" t="s">
        <v>30</v>
      </c>
      <c r="T43" t="s">
        <v>35</v>
      </c>
      <c r="U43" t="s">
        <v>80</v>
      </c>
      <c r="V43" t="s">
        <v>81</v>
      </c>
      <c r="W43">
        <v>9.65</v>
      </c>
      <c r="X43">
        <v>27</v>
      </c>
      <c r="Y43">
        <v>260.55</v>
      </c>
      <c r="Z43">
        <v>24.752250000000004</v>
      </c>
    </row>
    <row r="44" spans="1:26" x14ac:dyDescent="0.35">
      <c r="A44">
        <v>1043</v>
      </c>
      <c r="B44">
        <v>41676</v>
      </c>
      <c r="C44">
        <v>6</v>
      </c>
      <c r="D44" t="s">
        <v>82</v>
      </c>
      <c r="E44" t="s">
        <v>83</v>
      </c>
      <c r="F44" t="s">
        <v>84</v>
      </c>
      <c r="G44" t="s">
        <v>85</v>
      </c>
      <c r="H44">
        <v>99999</v>
      </c>
      <c r="I44" t="s">
        <v>30</v>
      </c>
      <c r="J44" t="s">
        <v>86</v>
      </c>
      <c r="K44" t="s">
        <v>61</v>
      </c>
      <c r="L44">
        <v>41678</v>
      </c>
      <c r="M44" t="s">
        <v>33</v>
      </c>
      <c r="N44" t="s">
        <v>87</v>
      </c>
      <c r="O44" t="s">
        <v>83</v>
      </c>
      <c r="P44" t="s">
        <v>84</v>
      </c>
      <c r="Q44" t="s">
        <v>85</v>
      </c>
      <c r="R44">
        <v>99999</v>
      </c>
      <c r="S44" t="s">
        <v>30</v>
      </c>
      <c r="T44" t="s">
        <v>48</v>
      </c>
      <c r="U44" t="s">
        <v>72</v>
      </c>
      <c r="V44" t="s">
        <v>73</v>
      </c>
      <c r="W44">
        <v>12.75</v>
      </c>
      <c r="X44">
        <v>71</v>
      </c>
      <c r="Y44">
        <v>905.25</v>
      </c>
      <c r="Z44">
        <v>91.430250000000001</v>
      </c>
    </row>
    <row r="45" spans="1:26" x14ac:dyDescent="0.35">
      <c r="A45">
        <v>1044</v>
      </c>
      <c r="B45">
        <v>41678</v>
      </c>
      <c r="C45">
        <v>8</v>
      </c>
      <c r="D45" t="s">
        <v>56</v>
      </c>
      <c r="E45" t="s">
        <v>57</v>
      </c>
      <c r="F45" t="s">
        <v>58</v>
      </c>
      <c r="G45" t="s">
        <v>59</v>
      </c>
      <c r="H45">
        <v>99999</v>
      </c>
      <c r="I45" t="s">
        <v>30</v>
      </c>
      <c r="J45" t="s">
        <v>60</v>
      </c>
      <c r="K45" t="s">
        <v>61</v>
      </c>
      <c r="L45">
        <v>41680</v>
      </c>
      <c r="M45" t="s">
        <v>33</v>
      </c>
      <c r="N45" t="s">
        <v>63</v>
      </c>
      <c r="O45" t="s">
        <v>57</v>
      </c>
      <c r="P45" t="s">
        <v>58</v>
      </c>
      <c r="Q45" t="s">
        <v>59</v>
      </c>
      <c r="R45">
        <v>99999</v>
      </c>
      <c r="S45" t="s">
        <v>30</v>
      </c>
      <c r="T45" t="s">
        <v>35</v>
      </c>
      <c r="U45" t="s">
        <v>72</v>
      </c>
      <c r="V45" t="s">
        <v>73</v>
      </c>
      <c r="W45">
        <v>12.75</v>
      </c>
      <c r="X45">
        <v>13</v>
      </c>
      <c r="Y45">
        <v>165.75</v>
      </c>
      <c r="Z45">
        <v>15.746249999999998</v>
      </c>
    </row>
    <row r="46" spans="1:26" x14ac:dyDescent="0.35">
      <c r="A46">
        <v>1045</v>
      </c>
      <c r="B46">
        <v>41695</v>
      </c>
      <c r="C46">
        <v>25</v>
      </c>
      <c r="D46" t="s">
        <v>137</v>
      </c>
      <c r="E46" t="s">
        <v>138</v>
      </c>
      <c r="F46" t="s">
        <v>99</v>
      </c>
      <c r="G46" t="s">
        <v>100</v>
      </c>
      <c r="H46">
        <v>99999</v>
      </c>
      <c r="I46" t="s">
        <v>30</v>
      </c>
      <c r="J46" t="s">
        <v>101</v>
      </c>
      <c r="K46" t="s">
        <v>45</v>
      </c>
      <c r="L46">
        <v>41697</v>
      </c>
      <c r="M46" t="s">
        <v>46</v>
      </c>
      <c r="N46" t="s">
        <v>139</v>
      </c>
      <c r="O46" t="s">
        <v>138</v>
      </c>
      <c r="P46" t="s">
        <v>99</v>
      </c>
      <c r="Q46" t="s">
        <v>100</v>
      </c>
      <c r="R46">
        <v>99999</v>
      </c>
      <c r="S46" t="s">
        <v>30</v>
      </c>
      <c r="T46" t="s">
        <v>79</v>
      </c>
      <c r="U46" t="s">
        <v>111</v>
      </c>
      <c r="V46" t="s">
        <v>112</v>
      </c>
      <c r="W46">
        <v>22</v>
      </c>
      <c r="X46">
        <v>98</v>
      </c>
      <c r="Y46">
        <v>2156</v>
      </c>
      <c r="Z46">
        <v>204.82000000000002</v>
      </c>
    </row>
    <row r="47" spans="1:26" x14ac:dyDescent="0.35">
      <c r="A47">
        <v>1046</v>
      </c>
      <c r="B47">
        <v>41696</v>
      </c>
      <c r="C47">
        <v>26</v>
      </c>
      <c r="D47" t="s">
        <v>140</v>
      </c>
      <c r="E47" t="s">
        <v>141</v>
      </c>
      <c r="F47" t="s">
        <v>115</v>
      </c>
      <c r="G47" t="s">
        <v>116</v>
      </c>
      <c r="H47">
        <v>99999</v>
      </c>
      <c r="I47" t="s">
        <v>30</v>
      </c>
      <c r="J47" t="s">
        <v>94</v>
      </c>
      <c r="K47" t="s">
        <v>95</v>
      </c>
      <c r="L47">
        <v>41698</v>
      </c>
      <c r="M47" t="s">
        <v>62</v>
      </c>
      <c r="N47" t="s">
        <v>142</v>
      </c>
      <c r="O47" t="s">
        <v>141</v>
      </c>
      <c r="P47" t="s">
        <v>115</v>
      </c>
      <c r="Q47" t="s">
        <v>116</v>
      </c>
      <c r="R47">
        <v>99999</v>
      </c>
      <c r="S47" t="s">
        <v>30</v>
      </c>
      <c r="T47" t="s">
        <v>48</v>
      </c>
      <c r="U47" t="s">
        <v>109</v>
      </c>
      <c r="V47" t="s">
        <v>110</v>
      </c>
      <c r="W47">
        <v>25</v>
      </c>
      <c r="X47">
        <v>21</v>
      </c>
      <c r="Y47">
        <v>525</v>
      </c>
      <c r="Z47">
        <v>53.550000000000004</v>
      </c>
    </row>
    <row r="48" spans="1:26" x14ac:dyDescent="0.35">
      <c r="A48">
        <v>1047</v>
      </c>
      <c r="B48">
        <v>41699</v>
      </c>
      <c r="C48">
        <v>29</v>
      </c>
      <c r="D48" t="s">
        <v>66</v>
      </c>
      <c r="E48" t="s">
        <v>67</v>
      </c>
      <c r="F48" t="s">
        <v>68</v>
      </c>
      <c r="G48" t="s">
        <v>69</v>
      </c>
      <c r="H48">
        <v>99999</v>
      </c>
      <c r="I48" t="s">
        <v>30</v>
      </c>
      <c r="J48" t="s">
        <v>70</v>
      </c>
      <c r="K48" t="s">
        <v>32</v>
      </c>
      <c r="L48">
        <v>41701</v>
      </c>
      <c r="M48" t="s">
        <v>33</v>
      </c>
      <c r="N48" t="s">
        <v>71</v>
      </c>
      <c r="O48" t="s">
        <v>67</v>
      </c>
      <c r="P48" t="s">
        <v>68</v>
      </c>
      <c r="Q48" t="s">
        <v>69</v>
      </c>
      <c r="R48">
        <v>99999</v>
      </c>
      <c r="S48" t="s">
        <v>30</v>
      </c>
      <c r="T48" t="s">
        <v>35</v>
      </c>
      <c r="U48" t="s">
        <v>143</v>
      </c>
      <c r="V48" t="s">
        <v>144</v>
      </c>
      <c r="W48">
        <v>39</v>
      </c>
      <c r="X48">
        <v>26</v>
      </c>
      <c r="Y48">
        <v>1014</v>
      </c>
      <c r="Z48">
        <v>106.47000000000001</v>
      </c>
    </row>
    <row r="49" spans="1:26" x14ac:dyDescent="0.35">
      <c r="A49">
        <v>1048</v>
      </c>
      <c r="B49">
        <v>41676</v>
      </c>
      <c r="C49">
        <v>6</v>
      </c>
      <c r="D49" t="s">
        <v>82</v>
      </c>
      <c r="E49" t="s">
        <v>83</v>
      </c>
      <c r="F49" t="s">
        <v>84</v>
      </c>
      <c r="G49" t="s">
        <v>85</v>
      </c>
      <c r="H49">
        <v>99999</v>
      </c>
      <c r="I49" t="s">
        <v>30</v>
      </c>
      <c r="J49" t="s">
        <v>86</v>
      </c>
      <c r="K49" t="s">
        <v>61</v>
      </c>
      <c r="L49">
        <v>41678</v>
      </c>
      <c r="M49" t="s">
        <v>62</v>
      </c>
      <c r="N49" t="s">
        <v>87</v>
      </c>
      <c r="O49" t="s">
        <v>83</v>
      </c>
      <c r="P49" t="s">
        <v>84</v>
      </c>
      <c r="Q49" t="s">
        <v>85</v>
      </c>
      <c r="R49">
        <v>99999</v>
      </c>
      <c r="S49" t="s">
        <v>30</v>
      </c>
      <c r="T49" t="s">
        <v>35</v>
      </c>
      <c r="U49" t="s">
        <v>49</v>
      </c>
      <c r="V49" t="s">
        <v>39</v>
      </c>
      <c r="W49">
        <v>30</v>
      </c>
      <c r="X49">
        <v>96</v>
      </c>
      <c r="Y49">
        <v>2880</v>
      </c>
      <c r="Z49">
        <v>296.64</v>
      </c>
    </row>
    <row r="50" spans="1:26" x14ac:dyDescent="0.35">
      <c r="A50">
        <v>1049</v>
      </c>
      <c r="B50">
        <v>41676</v>
      </c>
      <c r="C50">
        <v>6</v>
      </c>
      <c r="D50" t="s">
        <v>82</v>
      </c>
      <c r="E50" t="s">
        <v>83</v>
      </c>
      <c r="F50" t="s">
        <v>84</v>
      </c>
      <c r="G50" t="s">
        <v>85</v>
      </c>
      <c r="H50">
        <v>99999</v>
      </c>
      <c r="I50" t="s">
        <v>30</v>
      </c>
      <c r="J50" t="s">
        <v>86</v>
      </c>
      <c r="K50" t="s">
        <v>61</v>
      </c>
      <c r="L50">
        <v>41678</v>
      </c>
      <c r="M50" t="s">
        <v>62</v>
      </c>
      <c r="N50" t="s">
        <v>87</v>
      </c>
      <c r="O50" t="s">
        <v>83</v>
      </c>
      <c r="P50" t="s">
        <v>84</v>
      </c>
      <c r="Q50" t="s">
        <v>85</v>
      </c>
      <c r="R50">
        <v>99999</v>
      </c>
      <c r="S50" t="s">
        <v>30</v>
      </c>
      <c r="T50" t="s">
        <v>35</v>
      </c>
      <c r="U50" t="s">
        <v>50</v>
      </c>
      <c r="V50" t="s">
        <v>39</v>
      </c>
      <c r="W50">
        <v>53</v>
      </c>
      <c r="X50">
        <v>16</v>
      </c>
      <c r="Y50">
        <v>848</v>
      </c>
      <c r="Z50">
        <v>88.192000000000021</v>
      </c>
    </row>
    <row r="51" spans="1:26" x14ac:dyDescent="0.35">
      <c r="A51">
        <v>1050</v>
      </c>
      <c r="B51">
        <v>41674</v>
      </c>
      <c r="C51">
        <v>4</v>
      </c>
      <c r="D51" t="s">
        <v>40</v>
      </c>
      <c r="E51" t="s">
        <v>41</v>
      </c>
      <c r="F51" t="s">
        <v>42</v>
      </c>
      <c r="G51" t="s">
        <v>43</v>
      </c>
      <c r="H51">
        <v>99999</v>
      </c>
      <c r="I51" t="s">
        <v>30</v>
      </c>
      <c r="J51" t="s">
        <v>44</v>
      </c>
      <c r="K51" t="s">
        <v>45</v>
      </c>
      <c r="N51" t="s">
        <v>47</v>
      </c>
      <c r="O51" t="s">
        <v>41</v>
      </c>
      <c r="P51" t="s">
        <v>42</v>
      </c>
      <c r="Q51" t="s">
        <v>43</v>
      </c>
      <c r="R51">
        <v>99999</v>
      </c>
      <c r="S51" t="s">
        <v>30</v>
      </c>
      <c r="U51" t="s">
        <v>145</v>
      </c>
      <c r="V51" t="s">
        <v>132</v>
      </c>
      <c r="W51">
        <v>38</v>
      </c>
      <c r="X51">
        <v>96</v>
      </c>
      <c r="Y51">
        <v>3648</v>
      </c>
      <c r="Z51">
        <v>346.56</v>
      </c>
    </row>
    <row r="52" spans="1:26" x14ac:dyDescent="0.35">
      <c r="A52">
        <v>1051</v>
      </c>
      <c r="B52">
        <v>41673</v>
      </c>
      <c r="C52">
        <v>3</v>
      </c>
      <c r="D52" t="s">
        <v>74</v>
      </c>
      <c r="E52" t="s">
        <v>75</v>
      </c>
      <c r="F52" t="s">
        <v>76</v>
      </c>
      <c r="G52" t="s">
        <v>77</v>
      </c>
      <c r="H52">
        <v>99999</v>
      </c>
      <c r="I52" t="s">
        <v>30</v>
      </c>
      <c r="J52" t="s">
        <v>31</v>
      </c>
      <c r="K52" t="s">
        <v>32</v>
      </c>
      <c r="N52" t="s">
        <v>78</v>
      </c>
      <c r="O52" t="s">
        <v>75</v>
      </c>
      <c r="P52" t="s">
        <v>76</v>
      </c>
      <c r="Q52" t="s">
        <v>77</v>
      </c>
      <c r="R52">
        <v>99999</v>
      </c>
      <c r="S52" t="s">
        <v>30</v>
      </c>
      <c r="U52" t="s">
        <v>103</v>
      </c>
      <c r="V52" t="s">
        <v>37</v>
      </c>
      <c r="W52">
        <v>2.99</v>
      </c>
      <c r="X52">
        <v>75</v>
      </c>
      <c r="Y52">
        <v>224.25000000000003</v>
      </c>
      <c r="Z52">
        <v>23.097750000000005</v>
      </c>
    </row>
    <row r="53" spans="1:26" x14ac:dyDescent="0.35">
      <c r="A53">
        <v>1052</v>
      </c>
      <c r="B53">
        <v>41707</v>
      </c>
      <c r="C53">
        <v>9</v>
      </c>
      <c r="D53" t="s">
        <v>125</v>
      </c>
      <c r="E53" t="s">
        <v>126</v>
      </c>
      <c r="F53" t="s">
        <v>127</v>
      </c>
      <c r="G53" t="s">
        <v>128</v>
      </c>
      <c r="H53">
        <v>99999</v>
      </c>
      <c r="I53" t="s">
        <v>30</v>
      </c>
      <c r="J53" t="s">
        <v>129</v>
      </c>
      <c r="K53" t="s">
        <v>32</v>
      </c>
      <c r="L53">
        <v>41709</v>
      </c>
      <c r="M53" t="s">
        <v>46</v>
      </c>
      <c r="N53" t="s">
        <v>130</v>
      </c>
      <c r="O53" t="s">
        <v>126</v>
      </c>
      <c r="P53" t="s">
        <v>127</v>
      </c>
      <c r="Q53" t="s">
        <v>128</v>
      </c>
      <c r="R53">
        <v>99999</v>
      </c>
      <c r="S53" t="s">
        <v>30</v>
      </c>
      <c r="T53" t="s">
        <v>35</v>
      </c>
      <c r="U53" t="s">
        <v>131</v>
      </c>
      <c r="V53" t="s">
        <v>132</v>
      </c>
      <c r="W53">
        <v>19.5</v>
      </c>
      <c r="X53">
        <v>55</v>
      </c>
      <c r="Y53">
        <v>1072.5</v>
      </c>
      <c r="Z53">
        <v>108.32250000000001</v>
      </c>
    </row>
    <row r="54" spans="1:26" x14ac:dyDescent="0.35">
      <c r="A54">
        <v>1053</v>
      </c>
      <c r="B54">
        <v>41707</v>
      </c>
      <c r="C54">
        <v>9</v>
      </c>
      <c r="D54" t="s">
        <v>125</v>
      </c>
      <c r="E54" t="s">
        <v>126</v>
      </c>
      <c r="F54" t="s">
        <v>127</v>
      </c>
      <c r="G54" t="s">
        <v>128</v>
      </c>
      <c r="H54">
        <v>99999</v>
      </c>
      <c r="I54" t="s">
        <v>30</v>
      </c>
      <c r="J54" t="s">
        <v>129</v>
      </c>
      <c r="K54" t="s">
        <v>32</v>
      </c>
      <c r="L54">
        <v>41709</v>
      </c>
      <c r="M54" t="s">
        <v>46</v>
      </c>
      <c r="N54" t="s">
        <v>130</v>
      </c>
      <c r="O54" t="s">
        <v>126</v>
      </c>
      <c r="P54" t="s">
        <v>127</v>
      </c>
      <c r="Q54" t="s">
        <v>128</v>
      </c>
      <c r="R54">
        <v>99999</v>
      </c>
      <c r="S54" t="s">
        <v>30</v>
      </c>
      <c r="T54" t="s">
        <v>35</v>
      </c>
      <c r="U54" t="s">
        <v>133</v>
      </c>
      <c r="V54" t="s">
        <v>134</v>
      </c>
      <c r="W54">
        <v>34.799999999999997</v>
      </c>
      <c r="X54">
        <v>11</v>
      </c>
      <c r="Y54">
        <v>382.79999999999995</v>
      </c>
      <c r="Z54">
        <v>36.748799999999996</v>
      </c>
    </row>
    <row r="55" spans="1:26" x14ac:dyDescent="0.35">
      <c r="A55">
        <v>1054</v>
      </c>
      <c r="B55">
        <v>41704</v>
      </c>
      <c r="C55">
        <v>6</v>
      </c>
      <c r="D55" t="s">
        <v>82</v>
      </c>
      <c r="E55" t="s">
        <v>83</v>
      </c>
      <c r="F55" t="s">
        <v>84</v>
      </c>
      <c r="G55" t="s">
        <v>85</v>
      </c>
      <c r="H55">
        <v>99999</v>
      </c>
      <c r="I55" t="s">
        <v>30</v>
      </c>
      <c r="J55" t="s">
        <v>86</v>
      </c>
      <c r="K55" t="s">
        <v>61</v>
      </c>
      <c r="L55">
        <v>41706</v>
      </c>
      <c r="M55" t="s">
        <v>33</v>
      </c>
      <c r="N55" t="s">
        <v>87</v>
      </c>
      <c r="O55" t="s">
        <v>83</v>
      </c>
      <c r="P55" t="s">
        <v>84</v>
      </c>
      <c r="Q55" t="s">
        <v>85</v>
      </c>
      <c r="R55">
        <v>99999</v>
      </c>
      <c r="S55" t="s">
        <v>30</v>
      </c>
      <c r="T55" t="s">
        <v>48</v>
      </c>
      <c r="U55" t="s">
        <v>36</v>
      </c>
      <c r="V55" t="s">
        <v>37</v>
      </c>
      <c r="W55">
        <v>14</v>
      </c>
      <c r="X55">
        <v>53</v>
      </c>
      <c r="Y55">
        <v>742</v>
      </c>
      <c r="Z55">
        <v>71.974000000000004</v>
      </c>
    </row>
    <row r="56" spans="1:26" x14ac:dyDescent="0.35">
      <c r="A56">
        <v>1055</v>
      </c>
      <c r="B56">
        <v>41706</v>
      </c>
      <c r="C56">
        <v>8</v>
      </c>
      <c r="D56" t="s">
        <v>56</v>
      </c>
      <c r="E56" t="s">
        <v>57</v>
      </c>
      <c r="F56" t="s">
        <v>58</v>
      </c>
      <c r="G56" t="s">
        <v>59</v>
      </c>
      <c r="H56">
        <v>99999</v>
      </c>
      <c r="I56" t="s">
        <v>30</v>
      </c>
      <c r="J56" t="s">
        <v>60</v>
      </c>
      <c r="K56" t="s">
        <v>61</v>
      </c>
      <c r="L56">
        <v>41708</v>
      </c>
      <c r="M56" t="s">
        <v>33</v>
      </c>
      <c r="N56" t="s">
        <v>63</v>
      </c>
      <c r="O56" t="s">
        <v>57</v>
      </c>
      <c r="P56" t="s">
        <v>58</v>
      </c>
      <c r="Q56" t="s">
        <v>59</v>
      </c>
      <c r="R56">
        <v>99999</v>
      </c>
      <c r="S56" t="s">
        <v>30</v>
      </c>
      <c r="T56" t="s">
        <v>35</v>
      </c>
      <c r="U56" t="s">
        <v>88</v>
      </c>
      <c r="V56" t="s">
        <v>89</v>
      </c>
      <c r="W56">
        <v>40</v>
      </c>
      <c r="X56">
        <v>85</v>
      </c>
      <c r="Y56">
        <v>3400</v>
      </c>
      <c r="Z56">
        <v>357</v>
      </c>
    </row>
    <row r="57" spans="1:26" x14ac:dyDescent="0.35">
      <c r="A57">
        <v>1056</v>
      </c>
      <c r="B57">
        <v>41706</v>
      </c>
      <c r="C57">
        <v>8</v>
      </c>
      <c r="D57" t="s">
        <v>56</v>
      </c>
      <c r="E57" t="s">
        <v>57</v>
      </c>
      <c r="F57" t="s">
        <v>58</v>
      </c>
      <c r="G57" t="s">
        <v>59</v>
      </c>
      <c r="H57">
        <v>99999</v>
      </c>
      <c r="I57" t="s">
        <v>30</v>
      </c>
      <c r="J57" t="s">
        <v>60</v>
      </c>
      <c r="K57" t="s">
        <v>61</v>
      </c>
      <c r="L57">
        <v>41708</v>
      </c>
      <c r="M57" t="s">
        <v>33</v>
      </c>
      <c r="N57" t="s">
        <v>63</v>
      </c>
      <c r="O57" t="s">
        <v>57</v>
      </c>
      <c r="P57" t="s">
        <v>58</v>
      </c>
      <c r="Q57" t="s">
        <v>59</v>
      </c>
      <c r="R57">
        <v>99999</v>
      </c>
      <c r="S57" t="s">
        <v>30</v>
      </c>
      <c r="T57" t="s">
        <v>35</v>
      </c>
      <c r="U57" t="s">
        <v>64</v>
      </c>
      <c r="V57" t="s">
        <v>65</v>
      </c>
      <c r="W57">
        <v>9.1999999999999993</v>
      </c>
      <c r="X57">
        <v>97</v>
      </c>
      <c r="Y57">
        <v>892.4</v>
      </c>
      <c r="Z57">
        <v>91.024800000000013</v>
      </c>
    </row>
    <row r="58" spans="1:26" x14ac:dyDescent="0.35">
      <c r="A58">
        <v>1057</v>
      </c>
      <c r="B58">
        <v>41723</v>
      </c>
      <c r="C58">
        <v>25</v>
      </c>
      <c r="D58" t="s">
        <v>137</v>
      </c>
      <c r="E58" t="s">
        <v>138</v>
      </c>
      <c r="F58" t="s">
        <v>99</v>
      </c>
      <c r="G58" t="s">
        <v>100</v>
      </c>
      <c r="H58">
        <v>99999</v>
      </c>
      <c r="I58" t="s">
        <v>30</v>
      </c>
      <c r="J58" t="s">
        <v>101</v>
      </c>
      <c r="K58" t="s">
        <v>45</v>
      </c>
      <c r="L58">
        <v>41725</v>
      </c>
      <c r="M58" t="s">
        <v>46</v>
      </c>
      <c r="N58" t="s">
        <v>139</v>
      </c>
      <c r="O58" t="s">
        <v>138</v>
      </c>
      <c r="P58" t="s">
        <v>99</v>
      </c>
      <c r="Q58" t="s">
        <v>100</v>
      </c>
      <c r="R58">
        <v>99999</v>
      </c>
      <c r="S58" t="s">
        <v>30</v>
      </c>
      <c r="T58" t="s">
        <v>79</v>
      </c>
      <c r="U58" t="s">
        <v>146</v>
      </c>
      <c r="V58" t="s">
        <v>65</v>
      </c>
      <c r="W58">
        <v>10</v>
      </c>
      <c r="X58">
        <v>46</v>
      </c>
      <c r="Y58">
        <v>460</v>
      </c>
      <c r="Z58">
        <v>46.46</v>
      </c>
    </row>
    <row r="59" spans="1:26" x14ac:dyDescent="0.35">
      <c r="A59">
        <v>1058</v>
      </c>
      <c r="B59">
        <v>41724</v>
      </c>
      <c r="C59">
        <v>26</v>
      </c>
      <c r="D59" t="s">
        <v>140</v>
      </c>
      <c r="E59" t="s">
        <v>141</v>
      </c>
      <c r="F59" t="s">
        <v>115</v>
      </c>
      <c r="G59" t="s">
        <v>116</v>
      </c>
      <c r="H59">
        <v>99999</v>
      </c>
      <c r="I59" t="s">
        <v>30</v>
      </c>
      <c r="J59" t="s">
        <v>94</v>
      </c>
      <c r="K59" t="s">
        <v>95</v>
      </c>
      <c r="L59">
        <v>41726</v>
      </c>
      <c r="M59" t="s">
        <v>62</v>
      </c>
      <c r="N59" t="s">
        <v>142</v>
      </c>
      <c r="O59" t="s">
        <v>141</v>
      </c>
      <c r="P59" t="s">
        <v>115</v>
      </c>
      <c r="Q59" t="s">
        <v>116</v>
      </c>
      <c r="R59">
        <v>99999</v>
      </c>
      <c r="S59" t="s">
        <v>30</v>
      </c>
      <c r="T59" t="s">
        <v>48</v>
      </c>
      <c r="U59" t="s">
        <v>147</v>
      </c>
      <c r="V59" t="s">
        <v>148</v>
      </c>
      <c r="W59">
        <v>21.35</v>
      </c>
      <c r="X59">
        <v>97</v>
      </c>
      <c r="Y59">
        <v>2070.9500000000003</v>
      </c>
      <c r="Z59">
        <v>196.74025</v>
      </c>
    </row>
    <row r="60" spans="1:26" x14ac:dyDescent="0.35">
      <c r="A60">
        <v>1059</v>
      </c>
      <c r="B60">
        <v>41724</v>
      </c>
      <c r="C60">
        <v>26</v>
      </c>
      <c r="D60" t="s">
        <v>140</v>
      </c>
      <c r="E60" t="s">
        <v>141</v>
      </c>
      <c r="F60" t="s">
        <v>115</v>
      </c>
      <c r="G60" t="s">
        <v>116</v>
      </c>
      <c r="H60">
        <v>99999</v>
      </c>
      <c r="I60" t="s">
        <v>30</v>
      </c>
      <c r="J60" t="s">
        <v>94</v>
      </c>
      <c r="K60" t="s">
        <v>95</v>
      </c>
      <c r="L60">
        <v>41726</v>
      </c>
      <c r="M60" t="s">
        <v>62</v>
      </c>
      <c r="N60" t="s">
        <v>142</v>
      </c>
      <c r="O60" t="s">
        <v>141</v>
      </c>
      <c r="P60" t="s">
        <v>115</v>
      </c>
      <c r="Q60" t="s">
        <v>116</v>
      </c>
      <c r="R60">
        <v>99999</v>
      </c>
      <c r="S60" t="s">
        <v>30</v>
      </c>
      <c r="T60" t="s">
        <v>48</v>
      </c>
      <c r="U60" t="s">
        <v>80</v>
      </c>
      <c r="V60" t="s">
        <v>81</v>
      </c>
      <c r="W60">
        <v>9.65</v>
      </c>
      <c r="X60">
        <v>97</v>
      </c>
      <c r="Y60">
        <v>936.05000000000007</v>
      </c>
      <c r="Z60">
        <v>95.477100000000021</v>
      </c>
    </row>
    <row r="61" spans="1:26" x14ac:dyDescent="0.35">
      <c r="A61">
        <v>1060</v>
      </c>
      <c r="B61">
        <v>41724</v>
      </c>
      <c r="C61">
        <v>26</v>
      </c>
      <c r="D61" t="s">
        <v>140</v>
      </c>
      <c r="E61" t="s">
        <v>141</v>
      </c>
      <c r="F61" t="s">
        <v>115</v>
      </c>
      <c r="G61" t="s">
        <v>116</v>
      </c>
      <c r="H61">
        <v>99999</v>
      </c>
      <c r="I61" t="s">
        <v>30</v>
      </c>
      <c r="J61" t="s">
        <v>94</v>
      </c>
      <c r="K61" t="s">
        <v>95</v>
      </c>
      <c r="L61">
        <v>41726</v>
      </c>
      <c r="M61" t="s">
        <v>62</v>
      </c>
      <c r="N61" t="s">
        <v>142</v>
      </c>
      <c r="O61" t="s">
        <v>141</v>
      </c>
      <c r="P61" t="s">
        <v>115</v>
      </c>
      <c r="Q61" t="s">
        <v>116</v>
      </c>
      <c r="R61">
        <v>99999</v>
      </c>
      <c r="S61" t="s">
        <v>30</v>
      </c>
      <c r="T61" t="s">
        <v>48</v>
      </c>
      <c r="U61" t="s">
        <v>123</v>
      </c>
      <c r="V61" t="s">
        <v>124</v>
      </c>
      <c r="W61">
        <v>18.399999999999999</v>
      </c>
      <c r="X61">
        <v>65</v>
      </c>
      <c r="Y61">
        <v>1196</v>
      </c>
      <c r="Z61">
        <v>123.18800000000002</v>
      </c>
    </row>
    <row r="62" spans="1:26" x14ac:dyDescent="0.35">
      <c r="A62">
        <v>1061</v>
      </c>
      <c r="B62">
        <v>41727</v>
      </c>
      <c r="C62">
        <v>29</v>
      </c>
      <c r="D62" t="s">
        <v>66</v>
      </c>
      <c r="E62" t="s">
        <v>67</v>
      </c>
      <c r="F62" t="s">
        <v>68</v>
      </c>
      <c r="G62" t="s">
        <v>69</v>
      </c>
      <c r="H62">
        <v>99999</v>
      </c>
      <c r="I62" t="s">
        <v>30</v>
      </c>
      <c r="J62" t="s">
        <v>70</v>
      </c>
      <c r="K62" t="s">
        <v>32</v>
      </c>
      <c r="L62">
        <v>41729</v>
      </c>
      <c r="M62" t="s">
        <v>33</v>
      </c>
      <c r="N62" t="s">
        <v>71</v>
      </c>
      <c r="O62" t="s">
        <v>67</v>
      </c>
      <c r="P62" t="s">
        <v>68</v>
      </c>
      <c r="Q62" t="s">
        <v>69</v>
      </c>
      <c r="R62">
        <v>99999</v>
      </c>
      <c r="S62" t="s">
        <v>30</v>
      </c>
      <c r="T62" t="s">
        <v>35</v>
      </c>
      <c r="U62" t="s">
        <v>36</v>
      </c>
      <c r="V62" t="s">
        <v>37</v>
      </c>
      <c r="W62">
        <v>14</v>
      </c>
      <c r="X62">
        <v>72</v>
      </c>
      <c r="Y62">
        <v>1008</v>
      </c>
      <c r="Z62">
        <v>100.80000000000001</v>
      </c>
    </row>
    <row r="63" spans="1:26" x14ac:dyDescent="0.35">
      <c r="A63">
        <v>1062</v>
      </c>
      <c r="B63">
        <v>41704</v>
      </c>
      <c r="C63">
        <v>6</v>
      </c>
      <c r="D63" t="s">
        <v>82</v>
      </c>
      <c r="E63" t="s">
        <v>83</v>
      </c>
      <c r="F63" t="s">
        <v>84</v>
      </c>
      <c r="G63" t="s">
        <v>85</v>
      </c>
      <c r="H63">
        <v>99999</v>
      </c>
      <c r="I63" t="s">
        <v>30</v>
      </c>
      <c r="J63" t="s">
        <v>86</v>
      </c>
      <c r="K63" t="s">
        <v>61</v>
      </c>
      <c r="L63">
        <v>41706</v>
      </c>
      <c r="M63" t="s">
        <v>62</v>
      </c>
      <c r="N63" t="s">
        <v>87</v>
      </c>
      <c r="O63" t="s">
        <v>83</v>
      </c>
      <c r="P63" t="s">
        <v>84</v>
      </c>
      <c r="Q63" t="s">
        <v>85</v>
      </c>
      <c r="R63">
        <v>99999</v>
      </c>
      <c r="S63" t="s">
        <v>30</v>
      </c>
      <c r="T63" t="s">
        <v>35</v>
      </c>
      <c r="U63" t="s">
        <v>72</v>
      </c>
      <c r="V63" t="s">
        <v>73</v>
      </c>
      <c r="W63">
        <v>12.75</v>
      </c>
      <c r="X63">
        <v>16</v>
      </c>
      <c r="Y63">
        <v>204</v>
      </c>
      <c r="Z63">
        <v>20.196000000000002</v>
      </c>
    </row>
    <row r="64" spans="1:26" x14ac:dyDescent="0.35">
      <c r="A64">
        <v>1064</v>
      </c>
      <c r="B64">
        <v>41702</v>
      </c>
      <c r="C64">
        <v>4</v>
      </c>
      <c r="D64" t="s">
        <v>40</v>
      </c>
      <c r="E64" t="s">
        <v>41</v>
      </c>
      <c r="F64" t="s">
        <v>42</v>
      </c>
      <c r="G64" t="s">
        <v>43</v>
      </c>
      <c r="H64">
        <v>99999</v>
      </c>
      <c r="I64" t="s">
        <v>30</v>
      </c>
      <c r="J64" t="s">
        <v>44</v>
      </c>
      <c r="K64" t="s">
        <v>45</v>
      </c>
      <c r="L64">
        <v>41704</v>
      </c>
      <c r="M64" t="s">
        <v>46</v>
      </c>
      <c r="N64" t="s">
        <v>47</v>
      </c>
      <c r="O64" t="s">
        <v>41</v>
      </c>
      <c r="P64" t="s">
        <v>42</v>
      </c>
      <c r="Q64" t="s">
        <v>43</v>
      </c>
      <c r="R64">
        <v>99999</v>
      </c>
      <c r="S64" t="s">
        <v>30</v>
      </c>
      <c r="T64" t="s">
        <v>48</v>
      </c>
      <c r="U64" t="s">
        <v>149</v>
      </c>
      <c r="V64" t="s">
        <v>110</v>
      </c>
      <c r="W64">
        <v>81</v>
      </c>
      <c r="X64">
        <v>77</v>
      </c>
      <c r="Y64">
        <v>6237</v>
      </c>
      <c r="Z64">
        <v>642.41100000000006</v>
      </c>
    </row>
    <row r="65" spans="1:26" x14ac:dyDescent="0.35">
      <c r="A65">
        <v>1065</v>
      </c>
      <c r="B65">
        <v>41702</v>
      </c>
      <c r="C65">
        <v>4</v>
      </c>
      <c r="D65" t="s">
        <v>40</v>
      </c>
      <c r="E65" t="s">
        <v>41</v>
      </c>
      <c r="F65" t="s">
        <v>42</v>
      </c>
      <c r="G65" t="s">
        <v>43</v>
      </c>
      <c r="H65">
        <v>99999</v>
      </c>
      <c r="I65" t="s">
        <v>30</v>
      </c>
      <c r="J65" t="s">
        <v>44</v>
      </c>
      <c r="K65" t="s">
        <v>45</v>
      </c>
      <c r="L65">
        <v>41704</v>
      </c>
      <c r="M65" t="s">
        <v>46</v>
      </c>
      <c r="N65" t="s">
        <v>47</v>
      </c>
      <c r="O65" t="s">
        <v>41</v>
      </c>
      <c r="P65" t="s">
        <v>42</v>
      </c>
      <c r="Q65" t="s">
        <v>43</v>
      </c>
      <c r="R65">
        <v>99999</v>
      </c>
      <c r="S65" t="s">
        <v>30</v>
      </c>
      <c r="T65" t="s">
        <v>48</v>
      </c>
      <c r="U65" t="s">
        <v>150</v>
      </c>
      <c r="V65" t="s">
        <v>151</v>
      </c>
      <c r="W65">
        <v>7</v>
      </c>
      <c r="X65">
        <v>37</v>
      </c>
      <c r="Y65">
        <v>259</v>
      </c>
      <c r="Z65">
        <v>24.605</v>
      </c>
    </row>
    <row r="66" spans="1:26" x14ac:dyDescent="0.35">
      <c r="A66">
        <v>1067</v>
      </c>
      <c r="B66">
        <v>41706</v>
      </c>
      <c r="C66">
        <v>8</v>
      </c>
      <c r="D66" t="s">
        <v>56</v>
      </c>
      <c r="E66" t="s">
        <v>57</v>
      </c>
      <c r="F66" t="s">
        <v>58</v>
      </c>
      <c r="G66" t="s">
        <v>59</v>
      </c>
      <c r="H66">
        <v>99999</v>
      </c>
      <c r="I66" t="s">
        <v>30</v>
      </c>
      <c r="J66" t="s">
        <v>60</v>
      </c>
      <c r="K66" t="s">
        <v>61</v>
      </c>
      <c r="L66">
        <v>41708</v>
      </c>
      <c r="M66" t="s">
        <v>62</v>
      </c>
      <c r="N66" t="s">
        <v>63</v>
      </c>
      <c r="O66" t="s">
        <v>57</v>
      </c>
      <c r="P66" t="s">
        <v>58</v>
      </c>
      <c r="Q66" t="s">
        <v>59</v>
      </c>
      <c r="R66">
        <v>99999</v>
      </c>
      <c r="S66" t="s">
        <v>30</v>
      </c>
      <c r="T66" t="s">
        <v>48</v>
      </c>
      <c r="U66" t="s">
        <v>133</v>
      </c>
      <c r="V66" t="s">
        <v>134</v>
      </c>
      <c r="W66">
        <v>34.799999999999997</v>
      </c>
      <c r="X66">
        <v>63</v>
      </c>
      <c r="Y66">
        <v>2192.3999999999996</v>
      </c>
      <c r="Z66">
        <v>217.04759999999999</v>
      </c>
    </row>
    <row r="67" spans="1:26" x14ac:dyDescent="0.35">
      <c r="A67">
        <v>1070</v>
      </c>
      <c r="B67">
        <v>41701</v>
      </c>
      <c r="C67">
        <v>3</v>
      </c>
      <c r="D67" t="s">
        <v>74</v>
      </c>
      <c r="E67" t="s">
        <v>75</v>
      </c>
      <c r="F67" t="s">
        <v>76</v>
      </c>
      <c r="G67" t="s">
        <v>77</v>
      </c>
      <c r="H67">
        <v>99999</v>
      </c>
      <c r="I67" t="s">
        <v>30</v>
      </c>
      <c r="J67" t="s">
        <v>31</v>
      </c>
      <c r="K67" t="s">
        <v>32</v>
      </c>
      <c r="L67">
        <v>41703</v>
      </c>
      <c r="M67" t="s">
        <v>33</v>
      </c>
      <c r="N67" t="s">
        <v>78</v>
      </c>
      <c r="O67" t="s">
        <v>75</v>
      </c>
      <c r="P67" t="s">
        <v>76</v>
      </c>
      <c r="Q67" t="s">
        <v>77</v>
      </c>
      <c r="R67">
        <v>99999</v>
      </c>
      <c r="S67" t="s">
        <v>30</v>
      </c>
      <c r="T67" t="s">
        <v>79</v>
      </c>
      <c r="U67" t="s">
        <v>135</v>
      </c>
      <c r="V67" t="s">
        <v>112</v>
      </c>
      <c r="W67">
        <v>10</v>
      </c>
      <c r="X67">
        <v>48</v>
      </c>
      <c r="Y67">
        <v>480</v>
      </c>
      <c r="Z67">
        <v>48</v>
      </c>
    </row>
    <row r="68" spans="1:26" x14ac:dyDescent="0.35">
      <c r="A68">
        <v>1071</v>
      </c>
      <c r="B68">
        <v>41701</v>
      </c>
      <c r="C68">
        <v>3</v>
      </c>
      <c r="D68" t="s">
        <v>74</v>
      </c>
      <c r="E68" t="s">
        <v>75</v>
      </c>
      <c r="F68" t="s">
        <v>76</v>
      </c>
      <c r="G68" t="s">
        <v>77</v>
      </c>
      <c r="H68">
        <v>99999</v>
      </c>
      <c r="I68" t="s">
        <v>30</v>
      </c>
      <c r="J68" t="s">
        <v>31</v>
      </c>
      <c r="K68" t="s">
        <v>32</v>
      </c>
      <c r="L68">
        <v>41703</v>
      </c>
      <c r="M68" t="s">
        <v>33</v>
      </c>
      <c r="N68" t="s">
        <v>78</v>
      </c>
      <c r="O68" t="s">
        <v>75</v>
      </c>
      <c r="P68" t="s">
        <v>76</v>
      </c>
      <c r="Q68" t="s">
        <v>77</v>
      </c>
      <c r="R68">
        <v>99999</v>
      </c>
      <c r="S68" t="s">
        <v>30</v>
      </c>
      <c r="T68" t="s">
        <v>79</v>
      </c>
      <c r="U68" t="s">
        <v>88</v>
      </c>
      <c r="V68" t="s">
        <v>89</v>
      </c>
      <c r="W68">
        <v>40</v>
      </c>
      <c r="X68">
        <v>71</v>
      </c>
      <c r="Y68">
        <v>2840</v>
      </c>
      <c r="Z68">
        <v>295.36</v>
      </c>
    </row>
    <row r="69" spans="1:26" x14ac:dyDescent="0.35">
      <c r="A69">
        <v>1075</v>
      </c>
      <c r="B69">
        <v>41708</v>
      </c>
      <c r="C69">
        <v>10</v>
      </c>
      <c r="D69" t="s">
        <v>97</v>
      </c>
      <c r="E69" t="s">
        <v>98</v>
      </c>
      <c r="F69" t="s">
        <v>99</v>
      </c>
      <c r="G69" t="s">
        <v>100</v>
      </c>
      <c r="H69">
        <v>99999</v>
      </c>
      <c r="I69" t="s">
        <v>30</v>
      </c>
      <c r="J69" t="s">
        <v>101</v>
      </c>
      <c r="K69" t="s">
        <v>45</v>
      </c>
      <c r="L69">
        <v>41710</v>
      </c>
      <c r="M69" t="s">
        <v>33</v>
      </c>
      <c r="N69" t="s">
        <v>102</v>
      </c>
      <c r="O69" t="s">
        <v>98</v>
      </c>
      <c r="P69" t="s">
        <v>99</v>
      </c>
      <c r="Q69" t="s">
        <v>100</v>
      </c>
      <c r="R69">
        <v>99999</v>
      </c>
      <c r="S69" t="s">
        <v>30</v>
      </c>
      <c r="T69" t="s">
        <v>48</v>
      </c>
      <c r="U69" t="s">
        <v>136</v>
      </c>
      <c r="V69" t="s">
        <v>39</v>
      </c>
      <c r="W69">
        <v>10</v>
      </c>
      <c r="X69">
        <v>55</v>
      </c>
      <c r="Y69">
        <v>550</v>
      </c>
      <c r="Z69">
        <v>55</v>
      </c>
    </row>
    <row r="70" spans="1:26" x14ac:dyDescent="0.35">
      <c r="A70">
        <v>1077</v>
      </c>
      <c r="B70">
        <v>41708</v>
      </c>
      <c r="C70">
        <v>10</v>
      </c>
      <c r="D70" t="s">
        <v>97</v>
      </c>
      <c r="E70" t="s">
        <v>98</v>
      </c>
      <c r="F70" t="s">
        <v>99</v>
      </c>
      <c r="G70" t="s">
        <v>100</v>
      </c>
      <c r="H70">
        <v>99999</v>
      </c>
      <c r="I70" t="s">
        <v>30</v>
      </c>
      <c r="J70" t="s">
        <v>101</v>
      </c>
      <c r="K70" t="s">
        <v>45</v>
      </c>
      <c r="M70" t="s">
        <v>46</v>
      </c>
      <c r="N70" t="s">
        <v>102</v>
      </c>
      <c r="O70" t="s">
        <v>98</v>
      </c>
      <c r="P70" t="s">
        <v>99</v>
      </c>
      <c r="Q70" t="s">
        <v>100</v>
      </c>
      <c r="R70">
        <v>99999</v>
      </c>
      <c r="S70" t="s">
        <v>30</v>
      </c>
      <c r="U70" t="s">
        <v>38</v>
      </c>
      <c r="V70" t="s">
        <v>39</v>
      </c>
      <c r="W70">
        <v>3.5</v>
      </c>
      <c r="X70">
        <v>21</v>
      </c>
      <c r="Y70">
        <v>73.5</v>
      </c>
      <c r="Z70">
        <v>7.3500000000000005</v>
      </c>
    </row>
    <row r="71" spans="1:26" x14ac:dyDescent="0.35">
      <c r="A71">
        <v>1078</v>
      </c>
      <c r="B71">
        <v>41709</v>
      </c>
      <c r="C71">
        <v>11</v>
      </c>
      <c r="D71" t="s">
        <v>113</v>
      </c>
      <c r="E71" t="s">
        <v>114</v>
      </c>
      <c r="F71" t="s">
        <v>115</v>
      </c>
      <c r="G71" t="s">
        <v>116</v>
      </c>
      <c r="H71">
        <v>99999</v>
      </c>
      <c r="I71" t="s">
        <v>30</v>
      </c>
      <c r="J71" t="s">
        <v>94</v>
      </c>
      <c r="K71" t="s">
        <v>95</v>
      </c>
      <c r="M71" t="s">
        <v>62</v>
      </c>
      <c r="N71" t="s">
        <v>117</v>
      </c>
      <c r="O71" t="s">
        <v>114</v>
      </c>
      <c r="P71" t="s">
        <v>115</v>
      </c>
      <c r="Q71" t="s">
        <v>116</v>
      </c>
      <c r="R71">
        <v>99999</v>
      </c>
      <c r="S71" t="s">
        <v>30</v>
      </c>
      <c r="U71" t="s">
        <v>88</v>
      </c>
      <c r="V71" t="s">
        <v>89</v>
      </c>
      <c r="W71">
        <v>40</v>
      </c>
      <c r="X71">
        <v>67</v>
      </c>
      <c r="Y71">
        <v>2680</v>
      </c>
      <c r="Z71">
        <v>270.68</v>
      </c>
    </row>
    <row r="72" spans="1:26" x14ac:dyDescent="0.35">
      <c r="A72">
        <v>1079</v>
      </c>
      <c r="B72">
        <v>41699</v>
      </c>
      <c r="C72">
        <v>1</v>
      </c>
      <c r="D72" t="s">
        <v>118</v>
      </c>
      <c r="E72" t="s">
        <v>119</v>
      </c>
      <c r="F72" t="s">
        <v>120</v>
      </c>
      <c r="G72" t="s">
        <v>121</v>
      </c>
      <c r="H72">
        <v>99999</v>
      </c>
      <c r="I72" t="s">
        <v>30</v>
      </c>
      <c r="J72" t="s">
        <v>60</v>
      </c>
      <c r="K72" t="s">
        <v>61</v>
      </c>
      <c r="M72" t="s">
        <v>62</v>
      </c>
      <c r="N72" t="s">
        <v>122</v>
      </c>
      <c r="O72" t="s">
        <v>119</v>
      </c>
      <c r="P72" t="s">
        <v>120</v>
      </c>
      <c r="Q72" t="s">
        <v>121</v>
      </c>
      <c r="R72">
        <v>99999</v>
      </c>
      <c r="S72" t="s">
        <v>30</v>
      </c>
      <c r="U72" t="s">
        <v>123</v>
      </c>
      <c r="V72" t="s">
        <v>124</v>
      </c>
      <c r="W72">
        <v>18.399999999999999</v>
      </c>
      <c r="X72">
        <v>75</v>
      </c>
      <c r="Y72">
        <v>1380</v>
      </c>
      <c r="Z72">
        <v>138</v>
      </c>
    </row>
    <row r="73" spans="1:26" x14ac:dyDescent="0.35">
      <c r="A73">
        <v>1080</v>
      </c>
      <c r="B73">
        <v>41726</v>
      </c>
      <c r="C73">
        <v>28</v>
      </c>
      <c r="D73" t="s">
        <v>90</v>
      </c>
      <c r="E73" t="s">
        <v>91</v>
      </c>
      <c r="F73" t="s">
        <v>92</v>
      </c>
      <c r="G73" t="s">
        <v>93</v>
      </c>
      <c r="H73">
        <v>99999</v>
      </c>
      <c r="I73" t="s">
        <v>30</v>
      </c>
      <c r="J73" t="s">
        <v>94</v>
      </c>
      <c r="K73" t="s">
        <v>95</v>
      </c>
      <c r="L73">
        <v>41728</v>
      </c>
      <c r="M73" t="s">
        <v>62</v>
      </c>
      <c r="N73" t="s">
        <v>96</v>
      </c>
      <c r="O73" t="s">
        <v>91</v>
      </c>
      <c r="P73" t="s">
        <v>92</v>
      </c>
      <c r="Q73" t="s">
        <v>93</v>
      </c>
      <c r="R73">
        <v>99999</v>
      </c>
      <c r="S73" t="s">
        <v>30</v>
      </c>
      <c r="T73" t="s">
        <v>48</v>
      </c>
      <c r="U73" t="s">
        <v>55</v>
      </c>
      <c r="V73" t="s">
        <v>37</v>
      </c>
      <c r="W73">
        <v>46</v>
      </c>
      <c r="X73">
        <v>17</v>
      </c>
      <c r="Y73">
        <v>782</v>
      </c>
      <c r="Z73">
        <v>80.546000000000006</v>
      </c>
    </row>
    <row r="74" spans="1:26" x14ac:dyDescent="0.35">
      <c r="A74">
        <v>1081</v>
      </c>
      <c r="B74">
        <v>41733</v>
      </c>
      <c r="C74">
        <v>4</v>
      </c>
      <c r="D74" t="s">
        <v>40</v>
      </c>
      <c r="E74" t="s">
        <v>41</v>
      </c>
      <c r="F74" t="s">
        <v>42</v>
      </c>
      <c r="G74" t="s">
        <v>43</v>
      </c>
      <c r="H74">
        <v>99999</v>
      </c>
      <c r="I74" t="s">
        <v>30</v>
      </c>
      <c r="J74" t="s">
        <v>44</v>
      </c>
      <c r="K74" t="s">
        <v>45</v>
      </c>
      <c r="L74">
        <v>41735</v>
      </c>
      <c r="M74" t="s">
        <v>46</v>
      </c>
      <c r="N74" t="s">
        <v>47</v>
      </c>
      <c r="O74" t="s">
        <v>41</v>
      </c>
      <c r="P74" t="s">
        <v>42</v>
      </c>
      <c r="Q74" t="s">
        <v>43</v>
      </c>
      <c r="R74">
        <v>99999</v>
      </c>
      <c r="S74" t="s">
        <v>30</v>
      </c>
      <c r="T74" t="s">
        <v>48</v>
      </c>
      <c r="U74" t="s">
        <v>38</v>
      </c>
      <c r="V74" t="s">
        <v>39</v>
      </c>
      <c r="W74">
        <v>3.5</v>
      </c>
      <c r="X74">
        <v>48</v>
      </c>
      <c r="Y74">
        <v>168</v>
      </c>
      <c r="Z74">
        <v>16.295999999999999</v>
      </c>
    </row>
    <row r="75" spans="1:26" x14ac:dyDescent="0.35">
      <c r="A75">
        <v>1082</v>
      </c>
      <c r="B75">
        <v>41741</v>
      </c>
      <c r="C75">
        <v>12</v>
      </c>
      <c r="D75" t="s">
        <v>51</v>
      </c>
      <c r="E75" t="s">
        <v>52</v>
      </c>
      <c r="F75" t="s">
        <v>28</v>
      </c>
      <c r="G75" t="s">
        <v>29</v>
      </c>
      <c r="H75">
        <v>99999</v>
      </c>
      <c r="I75" t="s">
        <v>30</v>
      </c>
      <c r="J75" t="s">
        <v>31</v>
      </c>
      <c r="K75" t="s">
        <v>32</v>
      </c>
      <c r="L75">
        <v>41743</v>
      </c>
      <c r="M75" t="s">
        <v>33</v>
      </c>
      <c r="N75" t="s">
        <v>53</v>
      </c>
      <c r="O75" t="s">
        <v>52</v>
      </c>
      <c r="P75" t="s">
        <v>28</v>
      </c>
      <c r="Q75" t="s">
        <v>29</v>
      </c>
      <c r="R75">
        <v>99999</v>
      </c>
      <c r="S75" t="s">
        <v>30</v>
      </c>
      <c r="T75" t="s">
        <v>48</v>
      </c>
      <c r="U75" t="s">
        <v>54</v>
      </c>
      <c r="V75" t="s">
        <v>37</v>
      </c>
      <c r="W75">
        <v>18</v>
      </c>
      <c r="X75">
        <v>74</v>
      </c>
      <c r="Y75">
        <v>1332</v>
      </c>
      <c r="Z75">
        <v>137.19600000000003</v>
      </c>
    </row>
    <row r="76" spans="1:26" x14ac:dyDescent="0.35">
      <c r="A76">
        <v>1083</v>
      </c>
      <c r="B76">
        <v>41741</v>
      </c>
      <c r="C76">
        <v>12</v>
      </c>
      <c r="D76" t="s">
        <v>51</v>
      </c>
      <c r="E76" t="s">
        <v>52</v>
      </c>
      <c r="F76" t="s">
        <v>28</v>
      </c>
      <c r="G76" t="s">
        <v>29</v>
      </c>
      <c r="H76">
        <v>99999</v>
      </c>
      <c r="I76" t="s">
        <v>30</v>
      </c>
      <c r="J76" t="s">
        <v>31</v>
      </c>
      <c r="K76" t="s">
        <v>32</v>
      </c>
      <c r="L76">
        <v>41743</v>
      </c>
      <c r="M76" t="s">
        <v>33</v>
      </c>
      <c r="N76" t="s">
        <v>53</v>
      </c>
      <c r="O76" t="s">
        <v>52</v>
      </c>
      <c r="P76" t="s">
        <v>28</v>
      </c>
      <c r="Q76" t="s">
        <v>29</v>
      </c>
      <c r="R76">
        <v>99999</v>
      </c>
      <c r="S76" t="s">
        <v>30</v>
      </c>
      <c r="T76" t="s">
        <v>48</v>
      </c>
      <c r="U76" t="s">
        <v>55</v>
      </c>
      <c r="V76" t="s">
        <v>37</v>
      </c>
      <c r="W76">
        <v>46</v>
      </c>
      <c r="X76">
        <v>96</v>
      </c>
      <c r="Y76">
        <v>4416</v>
      </c>
      <c r="Z76">
        <v>428.35200000000003</v>
      </c>
    </row>
    <row r="77" spans="1:26" x14ac:dyDescent="0.35">
      <c r="A77">
        <v>1084</v>
      </c>
      <c r="B77">
        <v>41737</v>
      </c>
      <c r="C77">
        <v>8</v>
      </c>
      <c r="D77" t="s">
        <v>56</v>
      </c>
      <c r="E77" t="s">
        <v>57</v>
      </c>
      <c r="F77" t="s">
        <v>58</v>
      </c>
      <c r="G77" t="s">
        <v>59</v>
      </c>
      <c r="H77">
        <v>99999</v>
      </c>
      <c r="I77" t="s">
        <v>30</v>
      </c>
      <c r="J77" t="s">
        <v>60</v>
      </c>
      <c r="K77" t="s">
        <v>61</v>
      </c>
      <c r="L77">
        <v>41739</v>
      </c>
      <c r="M77" t="s">
        <v>62</v>
      </c>
      <c r="N77" t="s">
        <v>63</v>
      </c>
      <c r="O77" t="s">
        <v>57</v>
      </c>
      <c r="P77" t="s">
        <v>58</v>
      </c>
      <c r="Q77" t="s">
        <v>59</v>
      </c>
      <c r="R77">
        <v>99999</v>
      </c>
      <c r="S77" t="s">
        <v>30</v>
      </c>
      <c r="T77" t="s">
        <v>48</v>
      </c>
      <c r="U77" t="s">
        <v>64</v>
      </c>
      <c r="V77" t="s">
        <v>65</v>
      </c>
      <c r="W77">
        <v>9.1999999999999993</v>
      </c>
      <c r="X77">
        <v>12</v>
      </c>
      <c r="Y77">
        <v>110.39999999999999</v>
      </c>
      <c r="Z77">
        <v>11.3712</v>
      </c>
    </row>
    <row r="78" spans="1:26" x14ac:dyDescent="0.35">
      <c r="A78">
        <v>1085</v>
      </c>
      <c r="B78">
        <v>41733</v>
      </c>
      <c r="C78">
        <v>4</v>
      </c>
      <c r="D78" t="s">
        <v>40</v>
      </c>
      <c r="E78" t="s">
        <v>41</v>
      </c>
      <c r="F78" t="s">
        <v>42</v>
      </c>
      <c r="G78" t="s">
        <v>43</v>
      </c>
      <c r="H78">
        <v>99999</v>
      </c>
      <c r="I78" t="s">
        <v>30</v>
      </c>
      <c r="J78" t="s">
        <v>44</v>
      </c>
      <c r="K78" t="s">
        <v>45</v>
      </c>
      <c r="L78">
        <v>41735</v>
      </c>
      <c r="M78" t="s">
        <v>62</v>
      </c>
      <c r="N78" t="s">
        <v>47</v>
      </c>
      <c r="O78" t="s">
        <v>41</v>
      </c>
      <c r="P78" t="s">
        <v>42</v>
      </c>
      <c r="Q78" t="s">
        <v>43</v>
      </c>
      <c r="R78">
        <v>99999</v>
      </c>
      <c r="S78" t="s">
        <v>30</v>
      </c>
      <c r="T78" t="s">
        <v>35</v>
      </c>
      <c r="U78" t="s">
        <v>64</v>
      </c>
      <c r="V78" t="s">
        <v>65</v>
      </c>
      <c r="W78">
        <v>9.1999999999999993</v>
      </c>
      <c r="X78">
        <v>62</v>
      </c>
      <c r="Y78">
        <v>570.4</v>
      </c>
      <c r="Z78">
        <v>58.751199999999997</v>
      </c>
    </row>
    <row r="79" spans="1:26" x14ac:dyDescent="0.35">
      <c r="A79">
        <v>1086</v>
      </c>
      <c r="B79">
        <v>41758</v>
      </c>
      <c r="C79">
        <v>29</v>
      </c>
      <c r="D79" t="s">
        <v>66</v>
      </c>
      <c r="E79" t="s">
        <v>67</v>
      </c>
      <c r="F79" t="s">
        <v>68</v>
      </c>
      <c r="G79" t="s">
        <v>69</v>
      </c>
      <c r="H79">
        <v>99999</v>
      </c>
      <c r="I79" t="s">
        <v>30</v>
      </c>
      <c r="J79" t="s">
        <v>70</v>
      </c>
      <c r="K79" t="s">
        <v>32</v>
      </c>
      <c r="L79">
        <v>41760</v>
      </c>
      <c r="M79" t="s">
        <v>33</v>
      </c>
      <c r="N79" t="s">
        <v>71</v>
      </c>
      <c r="O79" t="s">
        <v>67</v>
      </c>
      <c r="P79" t="s">
        <v>68</v>
      </c>
      <c r="Q79" t="s">
        <v>69</v>
      </c>
      <c r="R79">
        <v>99999</v>
      </c>
      <c r="S79" t="s">
        <v>30</v>
      </c>
      <c r="T79" t="s">
        <v>35</v>
      </c>
      <c r="U79" t="s">
        <v>72</v>
      </c>
      <c r="V79" t="s">
        <v>73</v>
      </c>
      <c r="W79">
        <v>12.75</v>
      </c>
      <c r="X79">
        <v>35</v>
      </c>
      <c r="Y79">
        <v>446.25</v>
      </c>
      <c r="Z79">
        <v>45.963750000000005</v>
      </c>
    </row>
    <row r="80" spans="1:26" x14ac:dyDescent="0.35">
      <c r="A80">
        <v>1087</v>
      </c>
      <c r="B80">
        <v>41732</v>
      </c>
      <c r="C80">
        <v>3</v>
      </c>
      <c r="D80" t="s">
        <v>74</v>
      </c>
      <c r="E80" t="s">
        <v>75</v>
      </c>
      <c r="F80" t="s">
        <v>76</v>
      </c>
      <c r="G80" t="s">
        <v>77</v>
      </c>
      <c r="H80">
        <v>99999</v>
      </c>
      <c r="I80" t="s">
        <v>30</v>
      </c>
      <c r="J80" t="s">
        <v>31</v>
      </c>
      <c r="K80" t="s">
        <v>32</v>
      </c>
      <c r="L80">
        <v>41734</v>
      </c>
      <c r="M80" t="s">
        <v>33</v>
      </c>
      <c r="N80" t="s">
        <v>78</v>
      </c>
      <c r="O80" t="s">
        <v>75</v>
      </c>
      <c r="P80" t="s">
        <v>76</v>
      </c>
      <c r="Q80" t="s">
        <v>77</v>
      </c>
      <c r="R80">
        <v>99999</v>
      </c>
      <c r="S80" t="s">
        <v>30</v>
      </c>
      <c r="T80" t="s">
        <v>79</v>
      </c>
      <c r="U80" t="s">
        <v>80</v>
      </c>
      <c r="V80" t="s">
        <v>81</v>
      </c>
      <c r="W80">
        <v>9.65</v>
      </c>
      <c r="X80">
        <v>95</v>
      </c>
      <c r="Y80">
        <v>916.75</v>
      </c>
      <c r="Z80">
        <v>91.675000000000011</v>
      </c>
    </row>
    <row r="81" spans="1:26" x14ac:dyDescent="0.35">
      <c r="A81">
        <v>1088</v>
      </c>
      <c r="B81">
        <v>41735</v>
      </c>
      <c r="C81">
        <v>6</v>
      </c>
      <c r="D81" t="s">
        <v>82</v>
      </c>
      <c r="E81" t="s">
        <v>83</v>
      </c>
      <c r="F81" t="s">
        <v>84</v>
      </c>
      <c r="G81" t="s">
        <v>85</v>
      </c>
      <c r="H81">
        <v>99999</v>
      </c>
      <c r="I81" t="s">
        <v>30</v>
      </c>
      <c r="J81" t="s">
        <v>86</v>
      </c>
      <c r="K81" t="s">
        <v>61</v>
      </c>
      <c r="L81">
        <v>41737</v>
      </c>
      <c r="M81" t="s">
        <v>33</v>
      </c>
      <c r="N81" t="s">
        <v>87</v>
      </c>
      <c r="O81" t="s">
        <v>83</v>
      </c>
      <c r="P81" t="s">
        <v>84</v>
      </c>
      <c r="Q81" t="s">
        <v>85</v>
      </c>
      <c r="R81">
        <v>99999</v>
      </c>
      <c r="S81" t="s">
        <v>30</v>
      </c>
      <c r="T81" t="s">
        <v>48</v>
      </c>
      <c r="U81" t="s">
        <v>88</v>
      </c>
      <c r="V81" t="s">
        <v>89</v>
      </c>
      <c r="W81">
        <v>40</v>
      </c>
      <c r="X81">
        <v>17</v>
      </c>
      <c r="Y81">
        <v>680</v>
      </c>
      <c r="Z81">
        <v>68.680000000000007</v>
      </c>
    </row>
    <row r="82" spans="1:26" x14ac:dyDescent="0.35">
      <c r="A82">
        <v>1089</v>
      </c>
      <c r="B82">
        <v>41757</v>
      </c>
      <c r="C82">
        <v>28</v>
      </c>
      <c r="D82" t="s">
        <v>90</v>
      </c>
      <c r="E82" t="s">
        <v>91</v>
      </c>
      <c r="F82" t="s">
        <v>92</v>
      </c>
      <c r="G82" t="s">
        <v>93</v>
      </c>
      <c r="H82">
        <v>99999</v>
      </c>
      <c r="I82" t="s">
        <v>30</v>
      </c>
      <c r="J82" t="s">
        <v>94</v>
      </c>
      <c r="K82" t="s">
        <v>95</v>
      </c>
      <c r="L82">
        <v>41759</v>
      </c>
      <c r="M82" t="s">
        <v>62</v>
      </c>
      <c r="N82" t="s">
        <v>96</v>
      </c>
      <c r="O82" t="s">
        <v>91</v>
      </c>
      <c r="P82" t="s">
        <v>92</v>
      </c>
      <c r="Q82" t="s">
        <v>93</v>
      </c>
      <c r="R82">
        <v>99999</v>
      </c>
      <c r="S82" t="s">
        <v>30</v>
      </c>
      <c r="T82" t="s">
        <v>35</v>
      </c>
      <c r="U82" t="s">
        <v>55</v>
      </c>
      <c r="V82" t="s">
        <v>37</v>
      </c>
      <c r="W82">
        <v>46</v>
      </c>
      <c r="X82">
        <v>96</v>
      </c>
      <c r="Y82">
        <v>4416</v>
      </c>
      <c r="Z82">
        <v>463.68000000000006</v>
      </c>
    </row>
    <row r="83" spans="1:26" x14ac:dyDescent="0.35">
      <c r="A83">
        <v>1090</v>
      </c>
      <c r="B83">
        <v>41737</v>
      </c>
      <c r="C83">
        <v>8</v>
      </c>
      <c r="D83" t="s">
        <v>56</v>
      </c>
      <c r="E83" t="s">
        <v>57</v>
      </c>
      <c r="F83" t="s">
        <v>58</v>
      </c>
      <c r="G83" t="s">
        <v>59</v>
      </c>
      <c r="H83">
        <v>99999</v>
      </c>
      <c r="I83" t="s">
        <v>30</v>
      </c>
      <c r="J83" t="s">
        <v>60</v>
      </c>
      <c r="K83" t="s">
        <v>61</v>
      </c>
      <c r="L83">
        <v>41739</v>
      </c>
      <c r="M83" t="s">
        <v>62</v>
      </c>
      <c r="N83" t="s">
        <v>63</v>
      </c>
      <c r="O83" t="s">
        <v>57</v>
      </c>
      <c r="P83" t="s">
        <v>58</v>
      </c>
      <c r="Q83" t="s">
        <v>59</v>
      </c>
      <c r="R83">
        <v>99999</v>
      </c>
      <c r="S83" t="s">
        <v>30</v>
      </c>
      <c r="T83" t="s">
        <v>35</v>
      </c>
      <c r="U83" t="s">
        <v>72</v>
      </c>
      <c r="V83" t="s">
        <v>73</v>
      </c>
      <c r="W83">
        <v>12.75</v>
      </c>
      <c r="X83">
        <v>83</v>
      </c>
      <c r="Y83">
        <v>1058.25</v>
      </c>
      <c r="Z83">
        <v>102.65025</v>
      </c>
    </row>
    <row r="84" spans="1:26" x14ac:dyDescent="0.35">
      <c r="A84">
        <v>1091</v>
      </c>
      <c r="B84">
        <v>41739</v>
      </c>
      <c r="C84">
        <v>10</v>
      </c>
      <c r="D84" t="s">
        <v>97</v>
      </c>
      <c r="E84" t="s">
        <v>98</v>
      </c>
      <c r="F84" t="s">
        <v>99</v>
      </c>
      <c r="G84" t="s">
        <v>100</v>
      </c>
      <c r="H84">
        <v>99999</v>
      </c>
      <c r="I84" t="s">
        <v>30</v>
      </c>
      <c r="J84" t="s">
        <v>101</v>
      </c>
      <c r="K84" t="s">
        <v>45</v>
      </c>
      <c r="L84">
        <v>41741</v>
      </c>
      <c r="M84" t="s">
        <v>33</v>
      </c>
      <c r="N84" t="s">
        <v>102</v>
      </c>
      <c r="O84" t="s">
        <v>98</v>
      </c>
      <c r="P84" t="s">
        <v>99</v>
      </c>
      <c r="Q84" t="s">
        <v>100</v>
      </c>
      <c r="R84">
        <v>99999</v>
      </c>
      <c r="S84" t="s">
        <v>30</v>
      </c>
      <c r="T84" t="s">
        <v>48</v>
      </c>
      <c r="U84" t="s">
        <v>103</v>
      </c>
      <c r="V84" t="s">
        <v>37</v>
      </c>
      <c r="W84">
        <v>2.99</v>
      </c>
      <c r="X84">
        <v>88</v>
      </c>
      <c r="Y84">
        <v>263.12</v>
      </c>
      <c r="Z84">
        <v>26.04888</v>
      </c>
    </row>
    <row r="85" spans="1:26" x14ac:dyDescent="0.35">
      <c r="A85">
        <v>1092</v>
      </c>
      <c r="B85">
        <v>41736</v>
      </c>
      <c r="C85">
        <v>7</v>
      </c>
      <c r="D85" t="s">
        <v>104</v>
      </c>
      <c r="E85" t="s">
        <v>105</v>
      </c>
      <c r="F85" t="s">
        <v>106</v>
      </c>
      <c r="G85" t="s">
        <v>107</v>
      </c>
      <c r="H85">
        <v>99999</v>
      </c>
      <c r="I85" t="s">
        <v>30</v>
      </c>
      <c r="J85" t="s">
        <v>60</v>
      </c>
      <c r="K85" t="s">
        <v>61</v>
      </c>
      <c r="N85" t="s">
        <v>108</v>
      </c>
      <c r="O85" t="s">
        <v>105</v>
      </c>
      <c r="P85" t="s">
        <v>106</v>
      </c>
      <c r="Q85" t="s">
        <v>107</v>
      </c>
      <c r="R85">
        <v>99999</v>
      </c>
      <c r="S85" t="s">
        <v>30</v>
      </c>
      <c r="U85" t="s">
        <v>55</v>
      </c>
      <c r="V85" t="s">
        <v>37</v>
      </c>
      <c r="W85">
        <v>46</v>
      </c>
      <c r="X85">
        <v>59</v>
      </c>
      <c r="Y85">
        <v>2714</v>
      </c>
      <c r="Z85">
        <v>284.97000000000003</v>
      </c>
    </row>
    <row r="86" spans="1:26" x14ac:dyDescent="0.35">
      <c r="A86">
        <v>1093</v>
      </c>
      <c r="B86">
        <v>41739</v>
      </c>
      <c r="C86">
        <v>10</v>
      </c>
      <c r="D86" t="s">
        <v>97</v>
      </c>
      <c r="E86" t="s">
        <v>98</v>
      </c>
      <c r="F86" t="s">
        <v>99</v>
      </c>
      <c r="G86" t="s">
        <v>100</v>
      </c>
      <c r="H86">
        <v>99999</v>
      </c>
      <c r="I86" t="s">
        <v>30</v>
      </c>
      <c r="J86" t="s">
        <v>101</v>
      </c>
      <c r="K86" t="s">
        <v>45</v>
      </c>
      <c r="L86">
        <v>41741</v>
      </c>
      <c r="M86" t="s">
        <v>46</v>
      </c>
      <c r="N86" t="s">
        <v>102</v>
      </c>
      <c r="O86" t="s">
        <v>98</v>
      </c>
      <c r="P86" t="s">
        <v>99</v>
      </c>
      <c r="Q86" t="s">
        <v>100</v>
      </c>
      <c r="R86">
        <v>99999</v>
      </c>
      <c r="S86" t="s">
        <v>30</v>
      </c>
      <c r="U86" t="s">
        <v>109</v>
      </c>
      <c r="V86" t="s">
        <v>110</v>
      </c>
      <c r="W86">
        <v>25</v>
      </c>
      <c r="X86">
        <v>27</v>
      </c>
      <c r="Y86">
        <v>675</v>
      </c>
      <c r="Z86">
        <v>68.849999999999994</v>
      </c>
    </row>
    <row r="87" spans="1:26" x14ac:dyDescent="0.35">
      <c r="A87">
        <v>1094</v>
      </c>
      <c r="B87">
        <v>41739</v>
      </c>
      <c r="C87">
        <v>10</v>
      </c>
      <c r="D87" t="s">
        <v>97</v>
      </c>
      <c r="E87" t="s">
        <v>98</v>
      </c>
      <c r="F87" t="s">
        <v>99</v>
      </c>
      <c r="G87" t="s">
        <v>100</v>
      </c>
      <c r="H87">
        <v>99999</v>
      </c>
      <c r="I87" t="s">
        <v>30</v>
      </c>
      <c r="J87" t="s">
        <v>101</v>
      </c>
      <c r="K87" t="s">
        <v>45</v>
      </c>
      <c r="L87">
        <v>41741</v>
      </c>
      <c r="M87" t="s">
        <v>46</v>
      </c>
      <c r="N87" t="s">
        <v>102</v>
      </c>
      <c r="O87" t="s">
        <v>98</v>
      </c>
      <c r="P87" t="s">
        <v>99</v>
      </c>
      <c r="Q87" t="s">
        <v>100</v>
      </c>
      <c r="R87">
        <v>99999</v>
      </c>
      <c r="S87" t="s">
        <v>30</v>
      </c>
      <c r="U87" t="s">
        <v>111</v>
      </c>
      <c r="V87" t="s">
        <v>112</v>
      </c>
      <c r="W87">
        <v>22</v>
      </c>
      <c r="X87">
        <v>37</v>
      </c>
      <c r="Y87">
        <v>814</v>
      </c>
      <c r="Z87">
        <v>85.470000000000013</v>
      </c>
    </row>
    <row r="88" spans="1:26" x14ac:dyDescent="0.35">
      <c r="A88">
        <v>1095</v>
      </c>
      <c r="B88">
        <v>41739</v>
      </c>
      <c r="C88">
        <v>10</v>
      </c>
      <c r="D88" t="s">
        <v>97</v>
      </c>
      <c r="E88" t="s">
        <v>98</v>
      </c>
      <c r="F88" t="s">
        <v>99</v>
      </c>
      <c r="G88" t="s">
        <v>100</v>
      </c>
      <c r="H88">
        <v>99999</v>
      </c>
      <c r="I88" t="s">
        <v>30</v>
      </c>
      <c r="J88" t="s">
        <v>101</v>
      </c>
      <c r="K88" t="s">
        <v>45</v>
      </c>
      <c r="L88">
        <v>41741</v>
      </c>
      <c r="M88" t="s">
        <v>46</v>
      </c>
      <c r="N88" t="s">
        <v>102</v>
      </c>
      <c r="O88" t="s">
        <v>98</v>
      </c>
      <c r="P88" t="s">
        <v>99</v>
      </c>
      <c r="Q88" t="s">
        <v>100</v>
      </c>
      <c r="R88">
        <v>99999</v>
      </c>
      <c r="S88" t="s">
        <v>30</v>
      </c>
      <c r="U88" t="s">
        <v>64</v>
      </c>
      <c r="V88" t="s">
        <v>65</v>
      </c>
      <c r="W88">
        <v>9.1999999999999993</v>
      </c>
      <c r="X88">
        <v>75</v>
      </c>
      <c r="Y88">
        <v>690</v>
      </c>
      <c r="Z88">
        <v>69</v>
      </c>
    </row>
    <row r="89" spans="1:26" x14ac:dyDescent="0.35">
      <c r="A89">
        <v>1096</v>
      </c>
      <c r="B89">
        <v>41740</v>
      </c>
      <c r="C89">
        <v>11</v>
      </c>
      <c r="D89" t="s">
        <v>113</v>
      </c>
      <c r="E89" t="s">
        <v>114</v>
      </c>
      <c r="F89" t="s">
        <v>115</v>
      </c>
      <c r="G89" t="s">
        <v>116</v>
      </c>
      <c r="H89">
        <v>99999</v>
      </c>
      <c r="I89" t="s">
        <v>30</v>
      </c>
      <c r="J89" t="s">
        <v>94</v>
      </c>
      <c r="K89" t="s">
        <v>95</v>
      </c>
      <c r="M89" t="s">
        <v>62</v>
      </c>
      <c r="N89" t="s">
        <v>117</v>
      </c>
      <c r="O89" t="s">
        <v>114</v>
      </c>
      <c r="P89" t="s">
        <v>115</v>
      </c>
      <c r="Q89" t="s">
        <v>116</v>
      </c>
      <c r="R89">
        <v>99999</v>
      </c>
      <c r="S89" t="s">
        <v>30</v>
      </c>
      <c r="U89" t="s">
        <v>38</v>
      </c>
      <c r="V89" t="s">
        <v>39</v>
      </c>
      <c r="W89">
        <v>3.5</v>
      </c>
      <c r="X89">
        <v>71</v>
      </c>
      <c r="Y89">
        <v>248.5</v>
      </c>
      <c r="Z89">
        <v>24.104500000000002</v>
      </c>
    </row>
    <row r="90" spans="1:26" x14ac:dyDescent="0.35">
      <c r="A90">
        <v>1097</v>
      </c>
      <c r="B90">
        <v>41740</v>
      </c>
      <c r="C90">
        <v>11</v>
      </c>
      <c r="D90" t="s">
        <v>113</v>
      </c>
      <c r="E90" t="s">
        <v>114</v>
      </c>
      <c r="F90" t="s">
        <v>115</v>
      </c>
      <c r="G90" t="s">
        <v>116</v>
      </c>
      <c r="H90">
        <v>99999</v>
      </c>
      <c r="I90" t="s">
        <v>30</v>
      </c>
      <c r="J90" t="s">
        <v>94</v>
      </c>
      <c r="K90" t="s">
        <v>95</v>
      </c>
      <c r="M90" t="s">
        <v>62</v>
      </c>
      <c r="N90" t="s">
        <v>117</v>
      </c>
      <c r="O90" t="s">
        <v>114</v>
      </c>
      <c r="P90" t="s">
        <v>115</v>
      </c>
      <c r="Q90" t="s">
        <v>116</v>
      </c>
      <c r="R90">
        <v>99999</v>
      </c>
      <c r="S90" t="s">
        <v>30</v>
      </c>
      <c r="U90" t="s">
        <v>103</v>
      </c>
      <c r="V90" t="s">
        <v>37</v>
      </c>
      <c r="W90">
        <v>2.99</v>
      </c>
      <c r="X90">
        <v>88</v>
      </c>
      <c r="Y90">
        <v>263.12</v>
      </c>
      <c r="Z90">
        <v>26.04888</v>
      </c>
    </row>
    <row r="91" spans="1:26" x14ac:dyDescent="0.35">
      <c r="A91">
        <v>1098</v>
      </c>
      <c r="B91">
        <v>41730</v>
      </c>
      <c r="C91">
        <v>1</v>
      </c>
      <c r="D91" t="s">
        <v>118</v>
      </c>
      <c r="E91" t="s">
        <v>119</v>
      </c>
      <c r="F91" t="s">
        <v>120</v>
      </c>
      <c r="G91" t="s">
        <v>121</v>
      </c>
      <c r="H91">
        <v>99999</v>
      </c>
      <c r="I91" t="s">
        <v>30</v>
      </c>
      <c r="J91" t="s">
        <v>60</v>
      </c>
      <c r="K91" t="s">
        <v>61</v>
      </c>
      <c r="N91" t="s">
        <v>122</v>
      </c>
      <c r="O91" t="s">
        <v>119</v>
      </c>
      <c r="P91" t="s">
        <v>120</v>
      </c>
      <c r="Q91" t="s">
        <v>121</v>
      </c>
      <c r="R91">
        <v>99999</v>
      </c>
      <c r="S91" t="s">
        <v>30</v>
      </c>
      <c r="U91" t="s">
        <v>54</v>
      </c>
      <c r="V91" t="s">
        <v>37</v>
      </c>
      <c r="W91">
        <v>18</v>
      </c>
      <c r="X91">
        <v>55</v>
      </c>
      <c r="Y91">
        <v>990</v>
      </c>
      <c r="Z91">
        <v>97.02</v>
      </c>
    </row>
    <row r="92" spans="1:26" x14ac:dyDescent="0.35">
      <c r="A92">
        <v>1099</v>
      </c>
      <c r="B92">
        <v>41788</v>
      </c>
      <c r="C92">
        <v>29</v>
      </c>
      <c r="D92" t="s">
        <v>66</v>
      </c>
      <c r="E92" t="s">
        <v>67</v>
      </c>
      <c r="F92" t="s">
        <v>68</v>
      </c>
      <c r="G92" t="s">
        <v>69</v>
      </c>
      <c r="H92">
        <v>99999</v>
      </c>
      <c r="I92" t="s">
        <v>30</v>
      </c>
      <c r="J92" t="s">
        <v>70</v>
      </c>
      <c r="K92" t="s">
        <v>32</v>
      </c>
      <c r="L92">
        <v>41790</v>
      </c>
      <c r="M92" t="s">
        <v>33</v>
      </c>
      <c r="N92" t="s">
        <v>71</v>
      </c>
      <c r="O92" t="s">
        <v>67</v>
      </c>
      <c r="P92" t="s">
        <v>68</v>
      </c>
      <c r="Q92" t="s">
        <v>69</v>
      </c>
      <c r="R92">
        <v>99999</v>
      </c>
      <c r="S92" t="s">
        <v>30</v>
      </c>
      <c r="T92" t="s">
        <v>35</v>
      </c>
      <c r="U92" t="s">
        <v>72</v>
      </c>
      <c r="V92" t="s">
        <v>73</v>
      </c>
      <c r="W92">
        <v>12.75</v>
      </c>
      <c r="X92">
        <v>14</v>
      </c>
      <c r="Y92">
        <v>178.5</v>
      </c>
      <c r="Z92">
        <v>16.9575</v>
      </c>
    </row>
    <row r="93" spans="1:26" x14ac:dyDescent="0.35">
      <c r="A93">
        <v>1100</v>
      </c>
      <c r="B93">
        <v>41762</v>
      </c>
      <c r="C93">
        <v>3</v>
      </c>
      <c r="D93" t="s">
        <v>74</v>
      </c>
      <c r="E93" t="s">
        <v>75</v>
      </c>
      <c r="F93" t="s">
        <v>76</v>
      </c>
      <c r="G93" t="s">
        <v>77</v>
      </c>
      <c r="H93">
        <v>99999</v>
      </c>
      <c r="I93" t="s">
        <v>30</v>
      </c>
      <c r="J93" t="s">
        <v>31</v>
      </c>
      <c r="K93" t="s">
        <v>32</v>
      </c>
      <c r="L93">
        <v>41764</v>
      </c>
      <c r="M93" t="s">
        <v>33</v>
      </c>
      <c r="N93" t="s">
        <v>78</v>
      </c>
      <c r="O93" t="s">
        <v>75</v>
      </c>
      <c r="P93" t="s">
        <v>76</v>
      </c>
      <c r="Q93" t="s">
        <v>77</v>
      </c>
      <c r="R93">
        <v>99999</v>
      </c>
      <c r="S93" t="s">
        <v>30</v>
      </c>
      <c r="T93" t="s">
        <v>79</v>
      </c>
      <c r="U93" t="s">
        <v>80</v>
      </c>
      <c r="V93" t="s">
        <v>81</v>
      </c>
      <c r="W93">
        <v>9.65</v>
      </c>
      <c r="X93">
        <v>43</v>
      </c>
      <c r="Y93">
        <v>414.95</v>
      </c>
      <c r="Z93">
        <v>42.324900000000007</v>
      </c>
    </row>
    <row r="94" spans="1:26" x14ac:dyDescent="0.35">
      <c r="A94">
        <v>1101</v>
      </c>
      <c r="B94">
        <v>41765</v>
      </c>
      <c r="C94">
        <v>6</v>
      </c>
      <c r="D94" t="s">
        <v>82</v>
      </c>
      <c r="E94" t="s">
        <v>83</v>
      </c>
      <c r="F94" t="s">
        <v>84</v>
      </c>
      <c r="G94" t="s">
        <v>85</v>
      </c>
      <c r="H94">
        <v>99999</v>
      </c>
      <c r="I94" t="s">
        <v>30</v>
      </c>
      <c r="J94" t="s">
        <v>86</v>
      </c>
      <c r="K94" t="s">
        <v>61</v>
      </c>
      <c r="L94">
        <v>41767</v>
      </c>
      <c r="M94" t="s">
        <v>33</v>
      </c>
      <c r="N94" t="s">
        <v>87</v>
      </c>
      <c r="O94" t="s">
        <v>83</v>
      </c>
      <c r="P94" t="s">
        <v>84</v>
      </c>
      <c r="Q94" t="s">
        <v>85</v>
      </c>
      <c r="R94">
        <v>99999</v>
      </c>
      <c r="S94" t="s">
        <v>30</v>
      </c>
      <c r="T94" t="s">
        <v>48</v>
      </c>
      <c r="U94" t="s">
        <v>88</v>
      </c>
      <c r="V94" t="s">
        <v>89</v>
      </c>
      <c r="W94">
        <v>40</v>
      </c>
      <c r="X94">
        <v>63</v>
      </c>
      <c r="Y94">
        <v>2520</v>
      </c>
      <c r="Z94">
        <v>254.52</v>
      </c>
    </row>
    <row r="95" spans="1:26" x14ac:dyDescent="0.35">
      <c r="A95">
        <v>1102</v>
      </c>
      <c r="B95">
        <v>41787</v>
      </c>
      <c r="C95">
        <v>28</v>
      </c>
      <c r="D95" t="s">
        <v>90</v>
      </c>
      <c r="E95" t="s">
        <v>91</v>
      </c>
      <c r="F95" t="s">
        <v>92</v>
      </c>
      <c r="G95" t="s">
        <v>93</v>
      </c>
      <c r="H95">
        <v>99999</v>
      </c>
      <c r="I95" t="s">
        <v>30</v>
      </c>
      <c r="J95" t="s">
        <v>94</v>
      </c>
      <c r="K95" t="s">
        <v>95</v>
      </c>
      <c r="L95">
        <v>41789</v>
      </c>
      <c r="M95" t="s">
        <v>62</v>
      </c>
      <c r="N95" t="s">
        <v>96</v>
      </c>
      <c r="O95" t="s">
        <v>91</v>
      </c>
      <c r="P95" t="s">
        <v>92</v>
      </c>
      <c r="Q95" t="s">
        <v>93</v>
      </c>
      <c r="R95">
        <v>99999</v>
      </c>
      <c r="S95" t="s">
        <v>30</v>
      </c>
      <c r="T95" t="s">
        <v>35</v>
      </c>
      <c r="U95" t="s">
        <v>55</v>
      </c>
      <c r="V95" t="s">
        <v>37</v>
      </c>
      <c r="W95">
        <v>46</v>
      </c>
      <c r="X95">
        <v>36</v>
      </c>
      <c r="Y95">
        <v>1656</v>
      </c>
      <c r="Z95">
        <v>165.60000000000002</v>
      </c>
    </row>
    <row r="96" spans="1:26" x14ac:dyDescent="0.35">
      <c r="A96">
        <v>1103</v>
      </c>
      <c r="B96">
        <v>41767</v>
      </c>
      <c r="C96">
        <v>8</v>
      </c>
      <c r="D96" t="s">
        <v>56</v>
      </c>
      <c r="E96" t="s">
        <v>57</v>
      </c>
      <c r="F96" t="s">
        <v>58</v>
      </c>
      <c r="G96" t="s">
        <v>59</v>
      </c>
      <c r="H96">
        <v>99999</v>
      </c>
      <c r="I96" t="s">
        <v>30</v>
      </c>
      <c r="J96" t="s">
        <v>60</v>
      </c>
      <c r="K96" t="s">
        <v>61</v>
      </c>
      <c r="L96">
        <v>41769</v>
      </c>
      <c r="M96" t="s">
        <v>62</v>
      </c>
      <c r="N96" t="s">
        <v>63</v>
      </c>
      <c r="O96" t="s">
        <v>57</v>
      </c>
      <c r="P96" t="s">
        <v>58</v>
      </c>
      <c r="Q96" t="s">
        <v>59</v>
      </c>
      <c r="R96">
        <v>99999</v>
      </c>
      <c r="S96" t="s">
        <v>30</v>
      </c>
      <c r="T96" t="s">
        <v>35</v>
      </c>
      <c r="U96" t="s">
        <v>72</v>
      </c>
      <c r="V96" t="s">
        <v>73</v>
      </c>
      <c r="W96">
        <v>12.75</v>
      </c>
      <c r="X96">
        <v>41</v>
      </c>
      <c r="Y96">
        <v>522.75</v>
      </c>
      <c r="Z96">
        <v>54.366000000000007</v>
      </c>
    </row>
    <row r="97" spans="1:26" x14ac:dyDescent="0.35">
      <c r="A97">
        <v>1104</v>
      </c>
      <c r="B97">
        <v>41769</v>
      </c>
      <c r="C97">
        <v>10</v>
      </c>
      <c r="D97" t="s">
        <v>97</v>
      </c>
      <c r="E97" t="s">
        <v>98</v>
      </c>
      <c r="F97" t="s">
        <v>99</v>
      </c>
      <c r="G97" t="s">
        <v>100</v>
      </c>
      <c r="H97">
        <v>99999</v>
      </c>
      <c r="I97" t="s">
        <v>30</v>
      </c>
      <c r="J97" t="s">
        <v>101</v>
      </c>
      <c r="K97" t="s">
        <v>45</v>
      </c>
      <c r="L97">
        <v>41771</v>
      </c>
      <c r="M97" t="s">
        <v>33</v>
      </c>
      <c r="N97" t="s">
        <v>102</v>
      </c>
      <c r="O97" t="s">
        <v>98</v>
      </c>
      <c r="P97" t="s">
        <v>99</v>
      </c>
      <c r="Q97" t="s">
        <v>100</v>
      </c>
      <c r="R97">
        <v>99999</v>
      </c>
      <c r="S97" t="s">
        <v>30</v>
      </c>
      <c r="T97" t="s">
        <v>48</v>
      </c>
      <c r="U97" t="s">
        <v>103</v>
      </c>
      <c r="V97" t="s">
        <v>37</v>
      </c>
      <c r="W97">
        <v>2.99</v>
      </c>
      <c r="X97">
        <v>35</v>
      </c>
      <c r="Y97">
        <v>104.65</v>
      </c>
      <c r="Z97">
        <v>10.255700000000001</v>
      </c>
    </row>
    <row r="98" spans="1:26" x14ac:dyDescent="0.35">
      <c r="A98">
        <v>1105</v>
      </c>
      <c r="B98">
        <v>41766</v>
      </c>
      <c r="C98">
        <v>7</v>
      </c>
      <c r="D98" t="s">
        <v>104</v>
      </c>
      <c r="E98" t="s">
        <v>105</v>
      </c>
      <c r="F98" t="s">
        <v>106</v>
      </c>
      <c r="G98" t="s">
        <v>107</v>
      </c>
      <c r="H98">
        <v>99999</v>
      </c>
      <c r="I98" t="s">
        <v>30</v>
      </c>
      <c r="J98" t="s">
        <v>60</v>
      </c>
      <c r="K98" t="s">
        <v>61</v>
      </c>
      <c r="N98" t="s">
        <v>108</v>
      </c>
      <c r="O98" t="s">
        <v>105</v>
      </c>
      <c r="P98" t="s">
        <v>106</v>
      </c>
      <c r="Q98" t="s">
        <v>107</v>
      </c>
      <c r="R98">
        <v>99999</v>
      </c>
      <c r="S98" t="s">
        <v>30</v>
      </c>
      <c r="U98" t="s">
        <v>55</v>
      </c>
      <c r="V98" t="s">
        <v>37</v>
      </c>
      <c r="W98">
        <v>46</v>
      </c>
      <c r="X98">
        <v>31</v>
      </c>
      <c r="Y98">
        <v>1426</v>
      </c>
      <c r="Z98">
        <v>136.89599999999999</v>
      </c>
    </row>
    <row r="99" spans="1:26" x14ac:dyDescent="0.35">
      <c r="A99">
        <v>1106</v>
      </c>
      <c r="B99">
        <v>41769</v>
      </c>
      <c r="C99">
        <v>10</v>
      </c>
      <c r="D99" t="s">
        <v>97</v>
      </c>
      <c r="E99" t="s">
        <v>98</v>
      </c>
      <c r="F99" t="s">
        <v>99</v>
      </c>
      <c r="G99" t="s">
        <v>100</v>
      </c>
      <c r="H99">
        <v>99999</v>
      </c>
      <c r="I99" t="s">
        <v>30</v>
      </c>
      <c r="J99" t="s">
        <v>101</v>
      </c>
      <c r="K99" t="s">
        <v>45</v>
      </c>
      <c r="L99">
        <v>41771</v>
      </c>
      <c r="M99" t="s">
        <v>46</v>
      </c>
      <c r="N99" t="s">
        <v>102</v>
      </c>
      <c r="O99" t="s">
        <v>98</v>
      </c>
      <c r="P99" t="s">
        <v>99</v>
      </c>
      <c r="Q99" t="s">
        <v>100</v>
      </c>
      <c r="R99">
        <v>99999</v>
      </c>
      <c r="S99" t="s">
        <v>30</v>
      </c>
      <c r="U99" t="s">
        <v>109</v>
      </c>
      <c r="V99" t="s">
        <v>110</v>
      </c>
      <c r="W99">
        <v>25</v>
      </c>
      <c r="X99">
        <v>52</v>
      </c>
      <c r="Y99">
        <v>1300</v>
      </c>
      <c r="Z99">
        <v>123.5</v>
      </c>
    </row>
    <row r="100" spans="1:26" x14ac:dyDescent="0.35">
      <c r="A100">
        <v>1107</v>
      </c>
      <c r="B100">
        <v>41769</v>
      </c>
      <c r="C100">
        <v>10</v>
      </c>
      <c r="D100" t="s">
        <v>97</v>
      </c>
      <c r="E100" t="s">
        <v>98</v>
      </c>
      <c r="F100" t="s">
        <v>99</v>
      </c>
      <c r="G100" t="s">
        <v>100</v>
      </c>
      <c r="H100">
        <v>99999</v>
      </c>
      <c r="I100" t="s">
        <v>30</v>
      </c>
      <c r="J100" t="s">
        <v>101</v>
      </c>
      <c r="K100" t="s">
        <v>45</v>
      </c>
      <c r="L100">
        <v>41771</v>
      </c>
      <c r="M100" t="s">
        <v>46</v>
      </c>
      <c r="N100" t="s">
        <v>102</v>
      </c>
      <c r="O100" t="s">
        <v>98</v>
      </c>
      <c r="P100" t="s">
        <v>99</v>
      </c>
      <c r="Q100" t="s">
        <v>100</v>
      </c>
      <c r="R100">
        <v>99999</v>
      </c>
      <c r="S100" t="s">
        <v>30</v>
      </c>
      <c r="U100" t="s">
        <v>111</v>
      </c>
      <c r="V100" t="s">
        <v>112</v>
      </c>
      <c r="W100">
        <v>22</v>
      </c>
      <c r="X100">
        <v>30</v>
      </c>
      <c r="Y100">
        <v>660</v>
      </c>
      <c r="Z100">
        <v>67.320000000000007</v>
      </c>
    </row>
    <row r="101" spans="1:26" x14ac:dyDescent="0.35">
      <c r="A101">
        <v>1108</v>
      </c>
      <c r="B101">
        <v>41769</v>
      </c>
      <c r="C101">
        <v>10</v>
      </c>
      <c r="D101" t="s">
        <v>97</v>
      </c>
      <c r="E101" t="s">
        <v>98</v>
      </c>
      <c r="F101" t="s">
        <v>99</v>
      </c>
      <c r="G101" t="s">
        <v>100</v>
      </c>
      <c r="H101">
        <v>99999</v>
      </c>
      <c r="I101" t="s">
        <v>30</v>
      </c>
      <c r="J101" t="s">
        <v>101</v>
      </c>
      <c r="K101" t="s">
        <v>45</v>
      </c>
      <c r="L101">
        <v>41771</v>
      </c>
      <c r="M101" t="s">
        <v>46</v>
      </c>
      <c r="N101" t="s">
        <v>102</v>
      </c>
      <c r="O101" t="s">
        <v>98</v>
      </c>
      <c r="P101" t="s">
        <v>99</v>
      </c>
      <c r="Q101" t="s">
        <v>100</v>
      </c>
      <c r="R101">
        <v>99999</v>
      </c>
      <c r="S101" t="s">
        <v>30</v>
      </c>
      <c r="U101" t="s">
        <v>64</v>
      </c>
      <c r="V101" t="s">
        <v>65</v>
      </c>
      <c r="W101">
        <v>9.1999999999999993</v>
      </c>
      <c r="X101">
        <v>41</v>
      </c>
      <c r="Y101">
        <v>377.2</v>
      </c>
      <c r="Z101">
        <v>38.474400000000003</v>
      </c>
    </row>
    <row r="102" spans="1:26" x14ac:dyDescent="0.35">
      <c r="A102">
        <v>1109</v>
      </c>
      <c r="B102">
        <v>41770</v>
      </c>
      <c r="C102">
        <v>11</v>
      </c>
      <c r="D102" t="s">
        <v>113</v>
      </c>
      <c r="E102" t="s">
        <v>114</v>
      </c>
      <c r="F102" t="s">
        <v>115</v>
      </c>
      <c r="G102" t="s">
        <v>116</v>
      </c>
      <c r="H102">
        <v>99999</v>
      </c>
      <c r="I102" t="s">
        <v>30</v>
      </c>
      <c r="J102" t="s">
        <v>94</v>
      </c>
      <c r="K102" t="s">
        <v>95</v>
      </c>
      <c r="M102" t="s">
        <v>62</v>
      </c>
      <c r="N102" t="s">
        <v>117</v>
      </c>
      <c r="O102" t="s">
        <v>114</v>
      </c>
      <c r="P102" t="s">
        <v>115</v>
      </c>
      <c r="Q102" t="s">
        <v>116</v>
      </c>
      <c r="R102">
        <v>99999</v>
      </c>
      <c r="S102" t="s">
        <v>30</v>
      </c>
      <c r="U102" t="s">
        <v>38</v>
      </c>
      <c r="V102" t="s">
        <v>39</v>
      </c>
      <c r="W102">
        <v>3.5</v>
      </c>
      <c r="X102">
        <v>44</v>
      </c>
      <c r="Y102">
        <v>154</v>
      </c>
      <c r="Z102">
        <v>15.246</v>
      </c>
    </row>
    <row r="103" spans="1:26" x14ac:dyDescent="0.35">
      <c r="A103">
        <v>1110</v>
      </c>
      <c r="B103">
        <v>41770</v>
      </c>
      <c r="C103">
        <v>11</v>
      </c>
      <c r="D103" t="s">
        <v>113</v>
      </c>
      <c r="E103" t="s">
        <v>114</v>
      </c>
      <c r="F103" t="s">
        <v>115</v>
      </c>
      <c r="G103" t="s">
        <v>116</v>
      </c>
      <c r="H103">
        <v>99999</v>
      </c>
      <c r="I103" t="s">
        <v>30</v>
      </c>
      <c r="J103" t="s">
        <v>94</v>
      </c>
      <c r="K103" t="s">
        <v>95</v>
      </c>
      <c r="M103" t="s">
        <v>62</v>
      </c>
      <c r="N103" t="s">
        <v>117</v>
      </c>
      <c r="O103" t="s">
        <v>114</v>
      </c>
      <c r="P103" t="s">
        <v>115</v>
      </c>
      <c r="Q103" t="s">
        <v>116</v>
      </c>
      <c r="R103">
        <v>99999</v>
      </c>
      <c r="S103" t="s">
        <v>30</v>
      </c>
      <c r="U103" t="s">
        <v>103</v>
      </c>
      <c r="V103" t="s">
        <v>37</v>
      </c>
      <c r="W103">
        <v>2.99</v>
      </c>
      <c r="X103">
        <v>77</v>
      </c>
      <c r="Y103">
        <v>230.23000000000002</v>
      </c>
      <c r="Z103">
        <v>23.023000000000003</v>
      </c>
    </row>
    <row r="104" spans="1:26" x14ac:dyDescent="0.35">
      <c r="A104">
        <v>1111</v>
      </c>
      <c r="B104">
        <v>41760</v>
      </c>
      <c r="C104">
        <v>1</v>
      </c>
      <c r="D104" t="s">
        <v>118</v>
      </c>
      <c r="E104" t="s">
        <v>119</v>
      </c>
      <c r="F104" t="s">
        <v>120</v>
      </c>
      <c r="G104" t="s">
        <v>121</v>
      </c>
      <c r="H104">
        <v>99999</v>
      </c>
      <c r="I104" t="s">
        <v>30</v>
      </c>
      <c r="J104" t="s">
        <v>60</v>
      </c>
      <c r="K104" t="s">
        <v>61</v>
      </c>
      <c r="N104" t="s">
        <v>122</v>
      </c>
      <c r="O104" t="s">
        <v>119</v>
      </c>
      <c r="P104" t="s">
        <v>120</v>
      </c>
      <c r="Q104" t="s">
        <v>121</v>
      </c>
      <c r="R104">
        <v>99999</v>
      </c>
      <c r="S104" t="s">
        <v>30</v>
      </c>
      <c r="U104" t="s">
        <v>54</v>
      </c>
      <c r="V104" t="s">
        <v>37</v>
      </c>
      <c r="W104">
        <v>18</v>
      </c>
      <c r="X104">
        <v>29</v>
      </c>
      <c r="Y104">
        <v>522</v>
      </c>
      <c r="Z104">
        <v>52.722000000000001</v>
      </c>
    </row>
    <row r="105" spans="1:26" x14ac:dyDescent="0.35">
      <c r="A105">
        <v>1112</v>
      </c>
      <c r="B105">
        <v>41760</v>
      </c>
      <c r="C105">
        <v>1</v>
      </c>
      <c r="D105" t="s">
        <v>118</v>
      </c>
      <c r="E105" t="s">
        <v>119</v>
      </c>
      <c r="F105" t="s">
        <v>120</v>
      </c>
      <c r="G105" t="s">
        <v>121</v>
      </c>
      <c r="H105">
        <v>99999</v>
      </c>
      <c r="I105" t="s">
        <v>30</v>
      </c>
      <c r="J105" t="s">
        <v>60</v>
      </c>
      <c r="K105" t="s">
        <v>61</v>
      </c>
      <c r="N105" t="s">
        <v>122</v>
      </c>
      <c r="O105" t="s">
        <v>119</v>
      </c>
      <c r="P105" t="s">
        <v>120</v>
      </c>
      <c r="Q105" t="s">
        <v>121</v>
      </c>
      <c r="R105">
        <v>99999</v>
      </c>
      <c r="S105" t="s">
        <v>30</v>
      </c>
      <c r="U105" t="s">
        <v>55</v>
      </c>
      <c r="V105" t="s">
        <v>37</v>
      </c>
      <c r="W105">
        <v>46</v>
      </c>
      <c r="X105">
        <v>77</v>
      </c>
      <c r="Y105">
        <v>3542</v>
      </c>
      <c r="Z105">
        <v>368.36800000000005</v>
      </c>
    </row>
    <row r="106" spans="1:26" x14ac:dyDescent="0.35">
      <c r="A106">
        <v>1113</v>
      </c>
      <c r="B106">
        <v>41760</v>
      </c>
      <c r="C106">
        <v>1</v>
      </c>
      <c r="D106" t="s">
        <v>118</v>
      </c>
      <c r="E106" t="s">
        <v>119</v>
      </c>
      <c r="F106" t="s">
        <v>120</v>
      </c>
      <c r="G106" t="s">
        <v>121</v>
      </c>
      <c r="H106">
        <v>99999</v>
      </c>
      <c r="I106" t="s">
        <v>30</v>
      </c>
      <c r="J106" t="s">
        <v>60</v>
      </c>
      <c r="K106" t="s">
        <v>61</v>
      </c>
      <c r="N106" t="s">
        <v>122</v>
      </c>
      <c r="O106" t="s">
        <v>119</v>
      </c>
      <c r="P106" t="s">
        <v>120</v>
      </c>
      <c r="Q106" t="s">
        <v>121</v>
      </c>
      <c r="R106">
        <v>99999</v>
      </c>
      <c r="S106" t="s">
        <v>30</v>
      </c>
      <c r="U106" t="s">
        <v>103</v>
      </c>
      <c r="V106" t="s">
        <v>37</v>
      </c>
      <c r="W106">
        <v>2.99</v>
      </c>
      <c r="X106">
        <v>73</v>
      </c>
      <c r="Y106">
        <v>218.27</v>
      </c>
      <c r="Z106">
        <v>21.827000000000002</v>
      </c>
    </row>
    <row r="107" spans="1:26" x14ac:dyDescent="0.35">
      <c r="A107">
        <v>1114</v>
      </c>
      <c r="B107">
        <v>41787</v>
      </c>
      <c r="C107">
        <v>28</v>
      </c>
      <c r="D107" t="s">
        <v>90</v>
      </c>
      <c r="E107" t="s">
        <v>91</v>
      </c>
      <c r="F107" t="s">
        <v>92</v>
      </c>
      <c r="G107" t="s">
        <v>93</v>
      </c>
      <c r="H107">
        <v>99999</v>
      </c>
      <c r="I107" t="s">
        <v>30</v>
      </c>
      <c r="J107" t="s">
        <v>94</v>
      </c>
      <c r="K107" t="s">
        <v>95</v>
      </c>
      <c r="L107">
        <v>41789</v>
      </c>
      <c r="M107" t="s">
        <v>62</v>
      </c>
      <c r="N107" t="s">
        <v>96</v>
      </c>
      <c r="O107" t="s">
        <v>91</v>
      </c>
      <c r="P107" t="s">
        <v>92</v>
      </c>
      <c r="Q107" t="s">
        <v>93</v>
      </c>
      <c r="R107">
        <v>99999</v>
      </c>
      <c r="S107" t="s">
        <v>30</v>
      </c>
      <c r="T107" t="s">
        <v>48</v>
      </c>
      <c r="U107" t="s">
        <v>80</v>
      </c>
      <c r="V107" t="s">
        <v>81</v>
      </c>
      <c r="W107">
        <v>9.65</v>
      </c>
      <c r="X107">
        <v>74</v>
      </c>
      <c r="Y107">
        <v>714.1</v>
      </c>
      <c r="Z107">
        <v>67.839500000000001</v>
      </c>
    </row>
    <row r="108" spans="1:26" x14ac:dyDescent="0.35">
      <c r="A108">
        <v>1115</v>
      </c>
      <c r="B108">
        <v>41787</v>
      </c>
      <c r="C108">
        <v>28</v>
      </c>
      <c r="D108" t="s">
        <v>90</v>
      </c>
      <c r="E108" t="s">
        <v>91</v>
      </c>
      <c r="F108" t="s">
        <v>92</v>
      </c>
      <c r="G108" t="s">
        <v>93</v>
      </c>
      <c r="H108">
        <v>99999</v>
      </c>
      <c r="I108" t="s">
        <v>30</v>
      </c>
      <c r="J108" t="s">
        <v>94</v>
      </c>
      <c r="K108" t="s">
        <v>95</v>
      </c>
      <c r="L108">
        <v>41789</v>
      </c>
      <c r="M108" t="s">
        <v>62</v>
      </c>
      <c r="N108" t="s">
        <v>96</v>
      </c>
      <c r="O108" t="s">
        <v>91</v>
      </c>
      <c r="P108" t="s">
        <v>92</v>
      </c>
      <c r="Q108" t="s">
        <v>93</v>
      </c>
      <c r="R108">
        <v>99999</v>
      </c>
      <c r="S108" t="s">
        <v>30</v>
      </c>
      <c r="T108" t="s">
        <v>48</v>
      </c>
      <c r="U108" t="s">
        <v>123</v>
      </c>
      <c r="V108" t="s">
        <v>124</v>
      </c>
      <c r="W108">
        <v>18.399999999999999</v>
      </c>
      <c r="X108">
        <v>25</v>
      </c>
      <c r="Y108">
        <v>459.99999999999994</v>
      </c>
      <c r="Z108">
        <v>46.46</v>
      </c>
    </row>
    <row r="109" spans="1:26" x14ac:dyDescent="0.35">
      <c r="A109">
        <v>1116</v>
      </c>
      <c r="B109">
        <v>41768</v>
      </c>
      <c r="C109">
        <v>9</v>
      </c>
      <c r="D109" t="s">
        <v>125</v>
      </c>
      <c r="E109" t="s">
        <v>126</v>
      </c>
      <c r="F109" t="s">
        <v>127</v>
      </c>
      <c r="G109" t="s">
        <v>128</v>
      </c>
      <c r="H109">
        <v>99999</v>
      </c>
      <c r="I109" t="s">
        <v>30</v>
      </c>
      <c r="J109" t="s">
        <v>129</v>
      </c>
      <c r="K109" t="s">
        <v>32</v>
      </c>
      <c r="L109">
        <v>41770</v>
      </c>
      <c r="M109" t="s">
        <v>46</v>
      </c>
      <c r="N109" t="s">
        <v>130</v>
      </c>
      <c r="O109" t="s">
        <v>126</v>
      </c>
      <c r="P109" t="s">
        <v>127</v>
      </c>
      <c r="Q109" t="s">
        <v>128</v>
      </c>
      <c r="R109">
        <v>99999</v>
      </c>
      <c r="S109" t="s">
        <v>30</v>
      </c>
      <c r="T109" t="s">
        <v>35</v>
      </c>
      <c r="U109" t="s">
        <v>131</v>
      </c>
      <c r="V109" t="s">
        <v>132</v>
      </c>
      <c r="W109">
        <v>19.5</v>
      </c>
      <c r="X109">
        <v>82</v>
      </c>
      <c r="Y109">
        <v>1599</v>
      </c>
      <c r="Z109">
        <v>153.50399999999999</v>
      </c>
    </row>
    <row r="110" spans="1:26" x14ac:dyDescent="0.35">
      <c r="A110">
        <v>1117</v>
      </c>
      <c r="B110">
        <v>41768</v>
      </c>
      <c r="C110">
        <v>9</v>
      </c>
      <c r="D110" t="s">
        <v>125</v>
      </c>
      <c r="E110" t="s">
        <v>126</v>
      </c>
      <c r="F110" t="s">
        <v>127</v>
      </c>
      <c r="G110" t="s">
        <v>128</v>
      </c>
      <c r="H110">
        <v>99999</v>
      </c>
      <c r="I110" t="s">
        <v>30</v>
      </c>
      <c r="J110" t="s">
        <v>129</v>
      </c>
      <c r="K110" t="s">
        <v>32</v>
      </c>
      <c r="L110">
        <v>41770</v>
      </c>
      <c r="M110" t="s">
        <v>46</v>
      </c>
      <c r="N110" t="s">
        <v>130</v>
      </c>
      <c r="O110" t="s">
        <v>126</v>
      </c>
      <c r="P110" t="s">
        <v>127</v>
      </c>
      <c r="Q110" t="s">
        <v>128</v>
      </c>
      <c r="R110">
        <v>99999</v>
      </c>
      <c r="S110" t="s">
        <v>30</v>
      </c>
      <c r="T110" t="s">
        <v>35</v>
      </c>
      <c r="U110" t="s">
        <v>133</v>
      </c>
      <c r="V110" t="s">
        <v>134</v>
      </c>
      <c r="W110">
        <v>34.799999999999997</v>
      </c>
      <c r="X110">
        <v>37</v>
      </c>
      <c r="Y110">
        <v>1287.5999999999999</v>
      </c>
      <c r="Z110">
        <v>132.62279999999998</v>
      </c>
    </row>
    <row r="111" spans="1:26" x14ac:dyDescent="0.35">
      <c r="A111">
        <v>1118</v>
      </c>
      <c r="B111">
        <v>41765</v>
      </c>
      <c r="C111">
        <v>6</v>
      </c>
      <c r="D111" t="s">
        <v>82</v>
      </c>
      <c r="E111" t="s">
        <v>83</v>
      </c>
      <c r="F111" t="s">
        <v>84</v>
      </c>
      <c r="G111" t="s">
        <v>85</v>
      </c>
      <c r="H111">
        <v>99999</v>
      </c>
      <c r="I111" t="s">
        <v>30</v>
      </c>
      <c r="J111" t="s">
        <v>86</v>
      </c>
      <c r="K111" t="s">
        <v>61</v>
      </c>
      <c r="L111">
        <v>41767</v>
      </c>
      <c r="M111" t="s">
        <v>33</v>
      </c>
      <c r="N111" t="s">
        <v>87</v>
      </c>
      <c r="O111" t="s">
        <v>83</v>
      </c>
      <c r="P111" t="s">
        <v>84</v>
      </c>
      <c r="Q111" t="s">
        <v>85</v>
      </c>
      <c r="R111">
        <v>99999</v>
      </c>
      <c r="S111" t="s">
        <v>30</v>
      </c>
      <c r="T111" t="s">
        <v>48</v>
      </c>
      <c r="U111" t="s">
        <v>36</v>
      </c>
      <c r="V111" t="s">
        <v>37</v>
      </c>
      <c r="W111">
        <v>14</v>
      </c>
      <c r="X111">
        <v>84</v>
      </c>
      <c r="Y111">
        <v>1176</v>
      </c>
      <c r="Z111">
        <v>112.896</v>
      </c>
    </row>
    <row r="112" spans="1:26" x14ac:dyDescent="0.35">
      <c r="A112">
        <v>1119</v>
      </c>
      <c r="B112">
        <v>41767</v>
      </c>
      <c r="C112">
        <v>8</v>
      </c>
      <c r="D112" t="s">
        <v>56</v>
      </c>
      <c r="E112" t="s">
        <v>57</v>
      </c>
      <c r="F112" t="s">
        <v>58</v>
      </c>
      <c r="G112" t="s">
        <v>59</v>
      </c>
      <c r="H112">
        <v>99999</v>
      </c>
      <c r="I112" t="s">
        <v>30</v>
      </c>
      <c r="J112" t="s">
        <v>60</v>
      </c>
      <c r="K112" t="s">
        <v>61</v>
      </c>
      <c r="L112">
        <v>41769</v>
      </c>
      <c r="M112" t="s">
        <v>33</v>
      </c>
      <c r="N112" t="s">
        <v>63</v>
      </c>
      <c r="O112" t="s">
        <v>57</v>
      </c>
      <c r="P112" t="s">
        <v>58</v>
      </c>
      <c r="Q112" t="s">
        <v>59</v>
      </c>
      <c r="R112">
        <v>99999</v>
      </c>
      <c r="S112" t="s">
        <v>30</v>
      </c>
      <c r="T112" t="s">
        <v>35</v>
      </c>
      <c r="U112" t="s">
        <v>88</v>
      </c>
      <c r="V112" t="s">
        <v>89</v>
      </c>
      <c r="W112">
        <v>40</v>
      </c>
      <c r="X112">
        <v>73</v>
      </c>
      <c r="Y112">
        <v>2920</v>
      </c>
      <c r="Z112">
        <v>283.24</v>
      </c>
    </row>
    <row r="113" spans="1:26" x14ac:dyDescent="0.35">
      <c r="A113">
        <v>1120</v>
      </c>
      <c r="B113">
        <v>41767</v>
      </c>
      <c r="C113">
        <v>8</v>
      </c>
      <c r="D113" t="s">
        <v>56</v>
      </c>
      <c r="E113" t="s">
        <v>57</v>
      </c>
      <c r="F113" t="s">
        <v>58</v>
      </c>
      <c r="G113" t="s">
        <v>59</v>
      </c>
      <c r="H113">
        <v>99999</v>
      </c>
      <c r="I113" t="s">
        <v>30</v>
      </c>
      <c r="J113" t="s">
        <v>60</v>
      </c>
      <c r="K113" t="s">
        <v>61</v>
      </c>
      <c r="L113">
        <v>41769</v>
      </c>
      <c r="M113" t="s">
        <v>33</v>
      </c>
      <c r="N113" t="s">
        <v>63</v>
      </c>
      <c r="O113" t="s">
        <v>57</v>
      </c>
      <c r="P113" t="s">
        <v>58</v>
      </c>
      <c r="Q113" t="s">
        <v>59</v>
      </c>
      <c r="R113">
        <v>99999</v>
      </c>
      <c r="S113" t="s">
        <v>30</v>
      </c>
      <c r="T113" t="s">
        <v>35</v>
      </c>
      <c r="U113" t="s">
        <v>64</v>
      </c>
      <c r="V113" t="s">
        <v>65</v>
      </c>
      <c r="W113">
        <v>9.1999999999999993</v>
      </c>
      <c r="X113">
        <v>51</v>
      </c>
      <c r="Y113">
        <v>469.2</v>
      </c>
      <c r="Z113">
        <v>44.573999999999998</v>
      </c>
    </row>
    <row r="114" spans="1:26" x14ac:dyDescent="0.35">
      <c r="A114">
        <v>1121</v>
      </c>
      <c r="B114">
        <v>41784</v>
      </c>
      <c r="C114">
        <v>25</v>
      </c>
      <c r="D114" t="s">
        <v>137</v>
      </c>
      <c r="E114" t="s">
        <v>138</v>
      </c>
      <c r="F114" t="s">
        <v>99</v>
      </c>
      <c r="G114" t="s">
        <v>100</v>
      </c>
      <c r="H114">
        <v>99999</v>
      </c>
      <c r="I114" t="s">
        <v>30</v>
      </c>
      <c r="J114" t="s">
        <v>101</v>
      </c>
      <c r="K114" t="s">
        <v>45</v>
      </c>
      <c r="L114">
        <v>41786</v>
      </c>
      <c r="M114" t="s">
        <v>46</v>
      </c>
      <c r="N114" t="s">
        <v>139</v>
      </c>
      <c r="O114" t="s">
        <v>138</v>
      </c>
      <c r="P114" t="s">
        <v>99</v>
      </c>
      <c r="Q114" t="s">
        <v>100</v>
      </c>
      <c r="R114">
        <v>99999</v>
      </c>
      <c r="S114" t="s">
        <v>30</v>
      </c>
      <c r="T114" t="s">
        <v>79</v>
      </c>
      <c r="U114" t="s">
        <v>146</v>
      </c>
      <c r="V114" t="s">
        <v>65</v>
      </c>
      <c r="W114">
        <v>10</v>
      </c>
      <c r="X114">
        <v>66</v>
      </c>
      <c r="Y114">
        <v>660</v>
      </c>
      <c r="Z114">
        <v>68.64</v>
      </c>
    </row>
    <row r="115" spans="1:26" x14ac:dyDescent="0.35">
      <c r="A115">
        <v>1122</v>
      </c>
      <c r="B115">
        <v>41785</v>
      </c>
      <c r="C115">
        <v>26</v>
      </c>
      <c r="D115" t="s">
        <v>140</v>
      </c>
      <c r="E115" t="s">
        <v>141</v>
      </c>
      <c r="F115" t="s">
        <v>115</v>
      </c>
      <c r="G115" t="s">
        <v>116</v>
      </c>
      <c r="H115">
        <v>99999</v>
      </c>
      <c r="I115" t="s">
        <v>30</v>
      </c>
      <c r="J115" t="s">
        <v>94</v>
      </c>
      <c r="K115" t="s">
        <v>95</v>
      </c>
      <c r="L115">
        <v>41787</v>
      </c>
      <c r="M115" t="s">
        <v>62</v>
      </c>
      <c r="N115" t="s">
        <v>142</v>
      </c>
      <c r="O115" t="s">
        <v>141</v>
      </c>
      <c r="P115" t="s">
        <v>115</v>
      </c>
      <c r="Q115" t="s">
        <v>116</v>
      </c>
      <c r="R115">
        <v>99999</v>
      </c>
      <c r="S115" t="s">
        <v>30</v>
      </c>
      <c r="T115" t="s">
        <v>48</v>
      </c>
      <c r="U115" t="s">
        <v>147</v>
      </c>
      <c r="V115" t="s">
        <v>148</v>
      </c>
      <c r="W115">
        <v>21.35</v>
      </c>
      <c r="X115">
        <v>36</v>
      </c>
      <c r="Y115">
        <v>768.6</v>
      </c>
      <c r="Z115">
        <v>74.554200000000009</v>
      </c>
    </row>
    <row r="116" spans="1:26" x14ac:dyDescent="0.35">
      <c r="A116">
        <v>1123</v>
      </c>
      <c r="B116">
        <v>41785</v>
      </c>
      <c r="C116">
        <v>26</v>
      </c>
      <c r="D116" t="s">
        <v>140</v>
      </c>
      <c r="E116" t="s">
        <v>141</v>
      </c>
      <c r="F116" t="s">
        <v>115</v>
      </c>
      <c r="G116" t="s">
        <v>116</v>
      </c>
      <c r="H116">
        <v>99999</v>
      </c>
      <c r="I116" t="s">
        <v>30</v>
      </c>
      <c r="J116" t="s">
        <v>94</v>
      </c>
      <c r="K116" t="s">
        <v>95</v>
      </c>
      <c r="L116">
        <v>41787</v>
      </c>
      <c r="M116" t="s">
        <v>62</v>
      </c>
      <c r="N116" t="s">
        <v>142</v>
      </c>
      <c r="O116" t="s">
        <v>141</v>
      </c>
      <c r="P116" t="s">
        <v>115</v>
      </c>
      <c r="Q116" t="s">
        <v>116</v>
      </c>
      <c r="R116">
        <v>99999</v>
      </c>
      <c r="S116" t="s">
        <v>30</v>
      </c>
      <c r="T116" t="s">
        <v>48</v>
      </c>
      <c r="U116" t="s">
        <v>80</v>
      </c>
      <c r="V116" t="s">
        <v>81</v>
      </c>
      <c r="W116">
        <v>9.65</v>
      </c>
      <c r="X116">
        <v>87</v>
      </c>
      <c r="Y116">
        <v>839.55000000000007</v>
      </c>
      <c r="Z116">
        <v>87.313200000000009</v>
      </c>
    </row>
    <row r="117" spans="1:26" x14ac:dyDescent="0.35">
      <c r="A117">
        <v>1124</v>
      </c>
      <c r="B117">
        <v>41785</v>
      </c>
      <c r="C117">
        <v>26</v>
      </c>
      <c r="D117" t="s">
        <v>140</v>
      </c>
      <c r="E117" t="s">
        <v>141</v>
      </c>
      <c r="F117" t="s">
        <v>115</v>
      </c>
      <c r="G117" t="s">
        <v>116</v>
      </c>
      <c r="H117">
        <v>99999</v>
      </c>
      <c r="I117" t="s">
        <v>30</v>
      </c>
      <c r="J117" t="s">
        <v>94</v>
      </c>
      <c r="K117" t="s">
        <v>95</v>
      </c>
      <c r="L117">
        <v>41787</v>
      </c>
      <c r="M117" t="s">
        <v>62</v>
      </c>
      <c r="N117" t="s">
        <v>142</v>
      </c>
      <c r="O117" t="s">
        <v>141</v>
      </c>
      <c r="P117" t="s">
        <v>115</v>
      </c>
      <c r="Q117" t="s">
        <v>116</v>
      </c>
      <c r="R117">
        <v>99999</v>
      </c>
      <c r="S117" t="s">
        <v>30</v>
      </c>
      <c r="T117" t="s">
        <v>48</v>
      </c>
      <c r="U117" t="s">
        <v>123</v>
      </c>
      <c r="V117" t="s">
        <v>124</v>
      </c>
      <c r="W117">
        <v>18.399999999999999</v>
      </c>
      <c r="X117">
        <v>64</v>
      </c>
      <c r="Y117">
        <v>1177.5999999999999</v>
      </c>
      <c r="Z117">
        <v>115.40479999999999</v>
      </c>
    </row>
    <row r="118" spans="1:26" x14ac:dyDescent="0.35">
      <c r="A118">
        <v>1125</v>
      </c>
      <c r="B118">
        <v>41788</v>
      </c>
      <c r="C118">
        <v>29</v>
      </c>
      <c r="D118" t="s">
        <v>66</v>
      </c>
      <c r="E118" t="s">
        <v>67</v>
      </c>
      <c r="F118" t="s">
        <v>68</v>
      </c>
      <c r="G118" t="s">
        <v>69</v>
      </c>
      <c r="H118">
        <v>99999</v>
      </c>
      <c r="I118" t="s">
        <v>30</v>
      </c>
      <c r="J118" t="s">
        <v>70</v>
      </c>
      <c r="K118" t="s">
        <v>32</v>
      </c>
      <c r="L118">
        <v>41790</v>
      </c>
      <c r="M118" t="s">
        <v>33</v>
      </c>
      <c r="N118" t="s">
        <v>71</v>
      </c>
      <c r="O118" t="s">
        <v>67</v>
      </c>
      <c r="P118" t="s">
        <v>68</v>
      </c>
      <c r="Q118" t="s">
        <v>69</v>
      </c>
      <c r="R118">
        <v>99999</v>
      </c>
      <c r="S118" t="s">
        <v>30</v>
      </c>
      <c r="T118" t="s">
        <v>35</v>
      </c>
      <c r="U118" t="s">
        <v>36</v>
      </c>
      <c r="V118" t="s">
        <v>37</v>
      </c>
      <c r="W118">
        <v>14</v>
      </c>
      <c r="X118">
        <v>21</v>
      </c>
      <c r="Y118">
        <v>294</v>
      </c>
      <c r="Z118">
        <v>30.870000000000005</v>
      </c>
    </row>
    <row r="119" spans="1:26" x14ac:dyDescent="0.35">
      <c r="A119">
        <v>1126</v>
      </c>
      <c r="B119">
        <v>41765</v>
      </c>
      <c r="C119">
        <v>6</v>
      </c>
      <c r="D119" t="s">
        <v>82</v>
      </c>
      <c r="E119" t="s">
        <v>83</v>
      </c>
      <c r="F119" t="s">
        <v>84</v>
      </c>
      <c r="G119" t="s">
        <v>85</v>
      </c>
      <c r="H119">
        <v>99999</v>
      </c>
      <c r="I119" t="s">
        <v>30</v>
      </c>
      <c r="J119" t="s">
        <v>86</v>
      </c>
      <c r="K119" t="s">
        <v>61</v>
      </c>
      <c r="L119">
        <v>41767</v>
      </c>
      <c r="M119" t="s">
        <v>62</v>
      </c>
      <c r="N119" t="s">
        <v>87</v>
      </c>
      <c r="O119" t="s">
        <v>83</v>
      </c>
      <c r="P119" t="s">
        <v>84</v>
      </c>
      <c r="Q119" t="s">
        <v>85</v>
      </c>
      <c r="R119">
        <v>99999</v>
      </c>
      <c r="S119" t="s">
        <v>30</v>
      </c>
      <c r="T119" t="s">
        <v>35</v>
      </c>
      <c r="U119" t="s">
        <v>72</v>
      </c>
      <c r="V119" t="s">
        <v>73</v>
      </c>
      <c r="W119">
        <v>12.75</v>
      </c>
      <c r="X119">
        <v>19</v>
      </c>
      <c r="Y119">
        <v>242.25</v>
      </c>
      <c r="Z119">
        <v>24.46725</v>
      </c>
    </row>
    <row r="120" spans="1:26" x14ac:dyDescent="0.35">
      <c r="A120">
        <v>1128</v>
      </c>
      <c r="B120">
        <v>41763</v>
      </c>
      <c r="C120">
        <v>4</v>
      </c>
      <c r="D120" t="s">
        <v>40</v>
      </c>
      <c r="E120" t="s">
        <v>41</v>
      </c>
      <c r="F120" t="s">
        <v>42</v>
      </c>
      <c r="G120" t="s">
        <v>43</v>
      </c>
      <c r="H120">
        <v>99999</v>
      </c>
      <c r="I120" t="s">
        <v>30</v>
      </c>
      <c r="J120" t="s">
        <v>44</v>
      </c>
      <c r="K120" t="s">
        <v>45</v>
      </c>
      <c r="L120">
        <v>41765</v>
      </c>
      <c r="M120" t="s">
        <v>46</v>
      </c>
      <c r="N120" t="s">
        <v>47</v>
      </c>
      <c r="O120" t="s">
        <v>41</v>
      </c>
      <c r="P120" t="s">
        <v>42</v>
      </c>
      <c r="Q120" t="s">
        <v>43</v>
      </c>
      <c r="R120">
        <v>99999</v>
      </c>
      <c r="S120" t="s">
        <v>30</v>
      </c>
      <c r="T120" t="s">
        <v>48</v>
      </c>
      <c r="U120" t="s">
        <v>149</v>
      </c>
      <c r="V120" t="s">
        <v>110</v>
      </c>
      <c r="W120">
        <v>81</v>
      </c>
      <c r="X120">
        <v>23</v>
      </c>
      <c r="Y120">
        <v>1863</v>
      </c>
      <c r="Z120">
        <v>195.61500000000001</v>
      </c>
    </row>
    <row r="121" spans="1:26" x14ac:dyDescent="0.35">
      <c r="A121">
        <v>1129</v>
      </c>
      <c r="B121">
        <v>41763</v>
      </c>
      <c r="C121">
        <v>4</v>
      </c>
      <c r="D121" t="s">
        <v>40</v>
      </c>
      <c r="E121" t="s">
        <v>41</v>
      </c>
      <c r="F121" t="s">
        <v>42</v>
      </c>
      <c r="G121" t="s">
        <v>43</v>
      </c>
      <c r="H121">
        <v>99999</v>
      </c>
      <c r="I121" t="s">
        <v>30</v>
      </c>
      <c r="J121" t="s">
        <v>44</v>
      </c>
      <c r="K121" t="s">
        <v>45</v>
      </c>
      <c r="L121">
        <v>41765</v>
      </c>
      <c r="M121" t="s">
        <v>46</v>
      </c>
      <c r="N121" t="s">
        <v>47</v>
      </c>
      <c r="O121" t="s">
        <v>41</v>
      </c>
      <c r="P121" t="s">
        <v>42</v>
      </c>
      <c r="Q121" t="s">
        <v>43</v>
      </c>
      <c r="R121">
        <v>99999</v>
      </c>
      <c r="S121" t="s">
        <v>30</v>
      </c>
      <c r="T121" t="s">
        <v>48</v>
      </c>
      <c r="U121" t="s">
        <v>150</v>
      </c>
      <c r="V121" t="s">
        <v>151</v>
      </c>
      <c r="W121">
        <v>7</v>
      </c>
      <c r="X121">
        <v>72</v>
      </c>
      <c r="Y121">
        <v>504</v>
      </c>
      <c r="Z121">
        <v>51.912000000000006</v>
      </c>
    </row>
    <row r="122" spans="1:26" x14ac:dyDescent="0.35">
      <c r="A122">
        <v>1131</v>
      </c>
      <c r="B122">
        <v>41767</v>
      </c>
      <c r="C122">
        <v>8</v>
      </c>
      <c r="D122" t="s">
        <v>56</v>
      </c>
      <c r="E122" t="s">
        <v>57</v>
      </c>
      <c r="F122" t="s">
        <v>58</v>
      </c>
      <c r="G122" t="s">
        <v>59</v>
      </c>
      <c r="H122">
        <v>99999</v>
      </c>
      <c r="I122" t="s">
        <v>30</v>
      </c>
      <c r="J122" t="s">
        <v>60</v>
      </c>
      <c r="K122" t="s">
        <v>61</v>
      </c>
      <c r="L122">
        <v>41769</v>
      </c>
      <c r="M122" t="s">
        <v>62</v>
      </c>
      <c r="N122" t="s">
        <v>63</v>
      </c>
      <c r="O122" t="s">
        <v>57</v>
      </c>
      <c r="P122" t="s">
        <v>58</v>
      </c>
      <c r="Q122" t="s">
        <v>59</v>
      </c>
      <c r="R122">
        <v>99999</v>
      </c>
      <c r="S122" t="s">
        <v>30</v>
      </c>
      <c r="T122" t="s">
        <v>48</v>
      </c>
      <c r="U122" t="s">
        <v>133</v>
      </c>
      <c r="V122" t="s">
        <v>134</v>
      </c>
      <c r="W122">
        <v>34.799999999999997</v>
      </c>
      <c r="X122">
        <v>22</v>
      </c>
      <c r="Y122">
        <v>765.59999999999991</v>
      </c>
      <c r="Z122">
        <v>75.02879999999999</v>
      </c>
    </row>
    <row r="123" spans="1:26" x14ac:dyDescent="0.35">
      <c r="A123">
        <v>1134</v>
      </c>
      <c r="B123">
        <v>41762</v>
      </c>
      <c r="C123">
        <v>3</v>
      </c>
      <c r="D123" t="s">
        <v>74</v>
      </c>
      <c r="E123" t="s">
        <v>75</v>
      </c>
      <c r="F123" t="s">
        <v>76</v>
      </c>
      <c r="G123" t="s">
        <v>77</v>
      </c>
      <c r="H123">
        <v>99999</v>
      </c>
      <c r="I123" t="s">
        <v>30</v>
      </c>
      <c r="J123" t="s">
        <v>31</v>
      </c>
      <c r="K123" t="s">
        <v>32</v>
      </c>
      <c r="L123">
        <v>41764</v>
      </c>
      <c r="M123" t="s">
        <v>33</v>
      </c>
      <c r="N123" t="s">
        <v>78</v>
      </c>
      <c r="O123" t="s">
        <v>75</v>
      </c>
      <c r="P123" t="s">
        <v>76</v>
      </c>
      <c r="Q123" t="s">
        <v>77</v>
      </c>
      <c r="R123">
        <v>99999</v>
      </c>
      <c r="S123" t="s">
        <v>30</v>
      </c>
      <c r="T123" t="s">
        <v>79</v>
      </c>
      <c r="U123" t="s">
        <v>135</v>
      </c>
      <c r="V123" t="s">
        <v>112</v>
      </c>
      <c r="W123">
        <v>10</v>
      </c>
      <c r="X123">
        <v>82</v>
      </c>
      <c r="Y123">
        <v>820</v>
      </c>
      <c r="Z123">
        <v>85.28</v>
      </c>
    </row>
    <row r="124" spans="1:26" x14ac:dyDescent="0.35">
      <c r="A124">
        <v>1135</v>
      </c>
      <c r="B124">
        <v>41762</v>
      </c>
      <c r="C124">
        <v>3</v>
      </c>
      <c r="D124" t="s">
        <v>74</v>
      </c>
      <c r="E124" t="s">
        <v>75</v>
      </c>
      <c r="F124" t="s">
        <v>76</v>
      </c>
      <c r="G124" t="s">
        <v>77</v>
      </c>
      <c r="H124">
        <v>99999</v>
      </c>
      <c r="I124" t="s">
        <v>30</v>
      </c>
      <c r="J124" t="s">
        <v>31</v>
      </c>
      <c r="K124" t="s">
        <v>32</v>
      </c>
      <c r="L124">
        <v>41764</v>
      </c>
      <c r="M124" t="s">
        <v>33</v>
      </c>
      <c r="N124" t="s">
        <v>78</v>
      </c>
      <c r="O124" t="s">
        <v>75</v>
      </c>
      <c r="P124" t="s">
        <v>76</v>
      </c>
      <c r="Q124" t="s">
        <v>77</v>
      </c>
      <c r="R124">
        <v>99999</v>
      </c>
      <c r="S124" t="s">
        <v>30</v>
      </c>
      <c r="T124" t="s">
        <v>79</v>
      </c>
      <c r="U124" t="s">
        <v>88</v>
      </c>
      <c r="V124" t="s">
        <v>89</v>
      </c>
      <c r="W124">
        <v>40</v>
      </c>
      <c r="X124">
        <v>98</v>
      </c>
      <c r="Y124">
        <v>3920</v>
      </c>
      <c r="Z124">
        <v>411.6</v>
      </c>
    </row>
    <row r="125" spans="1:26" x14ac:dyDescent="0.35">
      <c r="A125">
        <v>1138</v>
      </c>
      <c r="B125">
        <v>41797</v>
      </c>
      <c r="C125">
        <v>7</v>
      </c>
      <c r="D125" t="s">
        <v>104</v>
      </c>
      <c r="E125" t="s">
        <v>105</v>
      </c>
      <c r="F125" t="s">
        <v>106</v>
      </c>
      <c r="G125" t="s">
        <v>107</v>
      </c>
      <c r="H125">
        <v>99999</v>
      </c>
      <c r="I125" t="s">
        <v>30</v>
      </c>
      <c r="J125" t="s">
        <v>60</v>
      </c>
      <c r="K125" t="s">
        <v>61</v>
      </c>
      <c r="N125" t="s">
        <v>108</v>
      </c>
      <c r="O125" t="s">
        <v>105</v>
      </c>
      <c r="P125" t="s">
        <v>106</v>
      </c>
      <c r="Q125" t="s">
        <v>107</v>
      </c>
      <c r="R125">
        <v>99999</v>
      </c>
      <c r="S125" t="s">
        <v>30</v>
      </c>
      <c r="U125" t="s">
        <v>55</v>
      </c>
      <c r="V125" t="s">
        <v>37</v>
      </c>
      <c r="W125">
        <v>46</v>
      </c>
      <c r="X125">
        <v>71</v>
      </c>
      <c r="Y125">
        <v>3266</v>
      </c>
      <c r="Z125">
        <v>310.27</v>
      </c>
    </row>
    <row r="126" spans="1:26" x14ac:dyDescent="0.35">
      <c r="A126">
        <v>1139</v>
      </c>
      <c r="B126">
        <v>41800</v>
      </c>
      <c r="C126">
        <v>10</v>
      </c>
      <c r="D126" t="s">
        <v>97</v>
      </c>
      <c r="E126" t="s">
        <v>98</v>
      </c>
      <c r="F126" t="s">
        <v>99</v>
      </c>
      <c r="G126" t="s">
        <v>100</v>
      </c>
      <c r="H126">
        <v>99999</v>
      </c>
      <c r="I126" t="s">
        <v>30</v>
      </c>
      <c r="J126" t="s">
        <v>101</v>
      </c>
      <c r="K126" t="s">
        <v>45</v>
      </c>
      <c r="L126">
        <v>41802</v>
      </c>
      <c r="M126" t="s">
        <v>46</v>
      </c>
      <c r="N126" t="s">
        <v>102</v>
      </c>
      <c r="O126" t="s">
        <v>98</v>
      </c>
      <c r="P126" t="s">
        <v>99</v>
      </c>
      <c r="Q126" t="s">
        <v>100</v>
      </c>
      <c r="R126">
        <v>99999</v>
      </c>
      <c r="S126" t="s">
        <v>30</v>
      </c>
      <c r="U126" t="s">
        <v>109</v>
      </c>
      <c r="V126" t="s">
        <v>110</v>
      </c>
      <c r="W126">
        <v>25</v>
      </c>
      <c r="X126">
        <v>40</v>
      </c>
      <c r="Y126">
        <v>1000</v>
      </c>
      <c r="Z126">
        <v>105</v>
      </c>
    </row>
    <row r="127" spans="1:26" x14ac:dyDescent="0.35">
      <c r="A127">
        <v>1140</v>
      </c>
      <c r="B127">
        <v>41800</v>
      </c>
      <c r="C127">
        <v>10</v>
      </c>
      <c r="D127" t="s">
        <v>97</v>
      </c>
      <c r="E127" t="s">
        <v>98</v>
      </c>
      <c r="F127" t="s">
        <v>99</v>
      </c>
      <c r="G127" t="s">
        <v>100</v>
      </c>
      <c r="H127">
        <v>99999</v>
      </c>
      <c r="I127" t="s">
        <v>30</v>
      </c>
      <c r="J127" t="s">
        <v>101</v>
      </c>
      <c r="K127" t="s">
        <v>45</v>
      </c>
      <c r="L127">
        <v>41802</v>
      </c>
      <c r="M127" t="s">
        <v>46</v>
      </c>
      <c r="N127" t="s">
        <v>102</v>
      </c>
      <c r="O127" t="s">
        <v>98</v>
      </c>
      <c r="P127" t="s">
        <v>99</v>
      </c>
      <c r="Q127" t="s">
        <v>100</v>
      </c>
      <c r="R127">
        <v>99999</v>
      </c>
      <c r="S127" t="s">
        <v>30</v>
      </c>
      <c r="U127" t="s">
        <v>111</v>
      </c>
      <c r="V127" t="s">
        <v>112</v>
      </c>
      <c r="W127">
        <v>22</v>
      </c>
      <c r="X127">
        <v>80</v>
      </c>
      <c r="Y127">
        <v>1760</v>
      </c>
      <c r="Z127">
        <v>172.48</v>
      </c>
    </row>
    <row r="128" spans="1:26" x14ac:dyDescent="0.35">
      <c r="A128">
        <v>1141</v>
      </c>
      <c r="B128">
        <v>41800</v>
      </c>
      <c r="C128">
        <v>10</v>
      </c>
      <c r="D128" t="s">
        <v>97</v>
      </c>
      <c r="E128" t="s">
        <v>98</v>
      </c>
      <c r="F128" t="s">
        <v>99</v>
      </c>
      <c r="G128" t="s">
        <v>100</v>
      </c>
      <c r="H128">
        <v>99999</v>
      </c>
      <c r="I128" t="s">
        <v>30</v>
      </c>
      <c r="J128" t="s">
        <v>101</v>
      </c>
      <c r="K128" t="s">
        <v>45</v>
      </c>
      <c r="L128">
        <v>41802</v>
      </c>
      <c r="M128" t="s">
        <v>46</v>
      </c>
      <c r="N128" t="s">
        <v>102</v>
      </c>
      <c r="O128" t="s">
        <v>98</v>
      </c>
      <c r="P128" t="s">
        <v>99</v>
      </c>
      <c r="Q128" t="s">
        <v>100</v>
      </c>
      <c r="R128">
        <v>99999</v>
      </c>
      <c r="S128" t="s">
        <v>30</v>
      </c>
      <c r="U128" t="s">
        <v>64</v>
      </c>
      <c r="V128" t="s">
        <v>65</v>
      </c>
      <c r="W128">
        <v>9.1999999999999993</v>
      </c>
      <c r="X128">
        <v>38</v>
      </c>
      <c r="Y128">
        <v>349.59999999999997</v>
      </c>
      <c r="Z128">
        <v>33.211999999999996</v>
      </c>
    </row>
    <row r="129" spans="1:26" x14ac:dyDescent="0.35">
      <c r="A129">
        <v>1142</v>
      </c>
      <c r="B129">
        <v>41801</v>
      </c>
      <c r="C129">
        <v>11</v>
      </c>
      <c r="D129" t="s">
        <v>113</v>
      </c>
      <c r="E129" t="s">
        <v>114</v>
      </c>
      <c r="F129" t="s">
        <v>115</v>
      </c>
      <c r="G129" t="s">
        <v>116</v>
      </c>
      <c r="H129">
        <v>99999</v>
      </c>
      <c r="I129" t="s">
        <v>30</v>
      </c>
      <c r="J129" t="s">
        <v>94</v>
      </c>
      <c r="K129" t="s">
        <v>95</v>
      </c>
      <c r="M129" t="s">
        <v>62</v>
      </c>
      <c r="N129" t="s">
        <v>117</v>
      </c>
      <c r="O129" t="s">
        <v>114</v>
      </c>
      <c r="P129" t="s">
        <v>115</v>
      </c>
      <c r="Q129" t="s">
        <v>116</v>
      </c>
      <c r="R129">
        <v>99999</v>
      </c>
      <c r="S129" t="s">
        <v>30</v>
      </c>
      <c r="U129" t="s">
        <v>38</v>
      </c>
      <c r="V129" t="s">
        <v>39</v>
      </c>
      <c r="W129">
        <v>3.5</v>
      </c>
      <c r="X129">
        <v>28</v>
      </c>
      <c r="Y129">
        <v>98</v>
      </c>
      <c r="Z129">
        <v>10.290000000000001</v>
      </c>
    </row>
    <row r="130" spans="1:26" x14ac:dyDescent="0.35">
      <c r="A130">
        <v>1143</v>
      </c>
      <c r="B130">
        <v>41801</v>
      </c>
      <c r="C130">
        <v>11</v>
      </c>
      <c r="D130" t="s">
        <v>113</v>
      </c>
      <c r="E130" t="s">
        <v>114</v>
      </c>
      <c r="F130" t="s">
        <v>115</v>
      </c>
      <c r="G130" t="s">
        <v>116</v>
      </c>
      <c r="H130">
        <v>99999</v>
      </c>
      <c r="I130" t="s">
        <v>30</v>
      </c>
      <c r="J130" t="s">
        <v>94</v>
      </c>
      <c r="K130" t="s">
        <v>95</v>
      </c>
      <c r="M130" t="s">
        <v>62</v>
      </c>
      <c r="N130" t="s">
        <v>117</v>
      </c>
      <c r="O130" t="s">
        <v>114</v>
      </c>
      <c r="P130" t="s">
        <v>115</v>
      </c>
      <c r="Q130" t="s">
        <v>116</v>
      </c>
      <c r="R130">
        <v>99999</v>
      </c>
      <c r="S130" t="s">
        <v>30</v>
      </c>
      <c r="U130" t="s">
        <v>103</v>
      </c>
      <c r="V130" t="s">
        <v>37</v>
      </c>
      <c r="W130">
        <v>2.99</v>
      </c>
      <c r="X130">
        <v>60</v>
      </c>
      <c r="Y130">
        <v>179.4</v>
      </c>
      <c r="Z130">
        <v>17.581200000000003</v>
      </c>
    </row>
    <row r="131" spans="1:26" x14ac:dyDescent="0.35">
      <c r="A131">
        <v>1144</v>
      </c>
      <c r="B131">
        <v>41791</v>
      </c>
      <c r="C131">
        <v>1</v>
      </c>
      <c r="D131" t="s">
        <v>118</v>
      </c>
      <c r="E131" t="s">
        <v>119</v>
      </c>
      <c r="F131" t="s">
        <v>120</v>
      </c>
      <c r="G131" t="s">
        <v>121</v>
      </c>
      <c r="H131">
        <v>99999</v>
      </c>
      <c r="I131" t="s">
        <v>30</v>
      </c>
      <c r="J131" t="s">
        <v>60</v>
      </c>
      <c r="K131" t="s">
        <v>61</v>
      </c>
      <c r="N131" t="s">
        <v>122</v>
      </c>
      <c r="O131" t="s">
        <v>119</v>
      </c>
      <c r="P131" t="s">
        <v>120</v>
      </c>
      <c r="Q131" t="s">
        <v>121</v>
      </c>
      <c r="R131">
        <v>99999</v>
      </c>
      <c r="S131" t="s">
        <v>30</v>
      </c>
      <c r="U131" t="s">
        <v>54</v>
      </c>
      <c r="V131" t="s">
        <v>37</v>
      </c>
      <c r="W131">
        <v>18</v>
      </c>
      <c r="X131">
        <v>33</v>
      </c>
      <c r="Y131">
        <v>594</v>
      </c>
      <c r="Z131">
        <v>58.212000000000003</v>
      </c>
    </row>
    <row r="132" spans="1:26" x14ac:dyDescent="0.35">
      <c r="A132">
        <v>1145</v>
      </c>
      <c r="B132">
        <v>41791</v>
      </c>
      <c r="C132">
        <v>1</v>
      </c>
      <c r="D132" t="s">
        <v>118</v>
      </c>
      <c r="E132" t="s">
        <v>119</v>
      </c>
      <c r="F132" t="s">
        <v>120</v>
      </c>
      <c r="G132" t="s">
        <v>121</v>
      </c>
      <c r="H132">
        <v>99999</v>
      </c>
      <c r="I132" t="s">
        <v>30</v>
      </c>
      <c r="J132" t="s">
        <v>60</v>
      </c>
      <c r="K132" t="s">
        <v>61</v>
      </c>
      <c r="N132" t="s">
        <v>122</v>
      </c>
      <c r="O132" t="s">
        <v>119</v>
      </c>
      <c r="P132" t="s">
        <v>120</v>
      </c>
      <c r="Q132" t="s">
        <v>121</v>
      </c>
      <c r="R132">
        <v>99999</v>
      </c>
      <c r="S132" t="s">
        <v>30</v>
      </c>
      <c r="U132" t="s">
        <v>55</v>
      </c>
      <c r="V132" t="s">
        <v>37</v>
      </c>
      <c r="W132">
        <v>46</v>
      </c>
      <c r="X132">
        <v>22</v>
      </c>
      <c r="Y132">
        <v>1012</v>
      </c>
      <c r="Z132">
        <v>101.2</v>
      </c>
    </row>
    <row r="133" spans="1:26" x14ac:dyDescent="0.35">
      <c r="A133">
        <v>1146</v>
      </c>
      <c r="B133">
        <v>41791</v>
      </c>
      <c r="C133">
        <v>1</v>
      </c>
      <c r="D133" t="s">
        <v>118</v>
      </c>
      <c r="E133" t="s">
        <v>119</v>
      </c>
      <c r="F133" t="s">
        <v>120</v>
      </c>
      <c r="G133" t="s">
        <v>121</v>
      </c>
      <c r="H133">
        <v>99999</v>
      </c>
      <c r="I133" t="s">
        <v>30</v>
      </c>
      <c r="J133" t="s">
        <v>60</v>
      </c>
      <c r="K133" t="s">
        <v>61</v>
      </c>
      <c r="N133" t="s">
        <v>122</v>
      </c>
      <c r="O133" t="s">
        <v>119</v>
      </c>
      <c r="P133" t="s">
        <v>120</v>
      </c>
      <c r="Q133" t="s">
        <v>121</v>
      </c>
      <c r="R133">
        <v>99999</v>
      </c>
      <c r="S133" t="s">
        <v>30</v>
      </c>
      <c r="U133" t="s">
        <v>103</v>
      </c>
      <c r="V133" t="s">
        <v>37</v>
      </c>
      <c r="W133">
        <v>2.99</v>
      </c>
      <c r="X133">
        <v>51</v>
      </c>
      <c r="Y133">
        <v>152.49</v>
      </c>
      <c r="Z133">
        <v>14.944020000000002</v>
      </c>
    </row>
    <row r="134" spans="1:26" x14ac:dyDescent="0.35">
      <c r="A134">
        <v>1147</v>
      </c>
      <c r="B134">
        <v>41818</v>
      </c>
      <c r="C134">
        <v>28</v>
      </c>
      <c r="D134" t="s">
        <v>90</v>
      </c>
      <c r="E134" t="s">
        <v>91</v>
      </c>
      <c r="F134" t="s">
        <v>92</v>
      </c>
      <c r="G134" t="s">
        <v>93</v>
      </c>
      <c r="H134">
        <v>99999</v>
      </c>
      <c r="I134" t="s">
        <v>30</v>
      </c>
      <c r="J134" t="s">
        <v>94</v>
      </c>
      <c r="K134" t="s">
        <v>95</v>
      </c>
      <c r="L134">
        <v>41820</v>
      </c>
      <c r="M134" t="s">
        <v>62</v>
      </c>
      <c r="N134" t="s">
        <v>96</v>
      </c>
      <c r="O134" t="s">
        <v>91</v>
      </c>
      <c r="P134" t="s">
        <v>92</v>
      </c>
      <c r="Q134" t="s">
        <v>93</v>
      </c>
      <c r="R134">
        <v>99999</v>
      </c>
      <c r="S134" t="s">
        <v>30</v>
      </c>
      <c r="T134" t="s">
        <v>48</v>
      </c>
      <c r="U134" t="s">
        <v>80</v>
      </c>
      <c r="V134" t="s">
        <v>81</v>
      </c>
      <c r="W134">
        <v>9.65</v>
      </c>
      <c r="X134">
        <v>60</v>
      </c>
      <c r="Y134">
        <v>579</v>
      </c>
      <c r="Z134">
        <v>57.321000000000005</v>
      </c>
    </row>
    <row r="135" spans="1:26" x14ac:dyDescent="0.35">
      <c r="A135">
        <v>1148</v>
      </c>
      <c r="B135">
        <v>41818</v>
      </c>
      <c r="C135">
        <v>28</v>
      </c>
      <c r="D135" t="s">
        <v>90</v>
      </c>
      <c r="E135" t="s">
        <v>91</v>
      </c>
      <c r="F135" t="s">
        <v>92</v>
      </c>
      <c r="G135" t="s">
        <v>93</v>
      </c>
      <c r="H135">
        <v>99999</v>
      </c>
      <c r="I135" t="s">
        <v>30</v>
      </c>
      <c r="J135" t="s">
        <v>94</v>
      </c>
      <c r="K135" t="s">
        <v>95</v>
      </c>
      <c r="L135">
        <v>41820</v>
      </c>
      <c r="M135" t="s">
        <v>62</v>
      </c>
      <c r="N135" t="s">
        <v>96</v>
      </c>
      <c r="O135" t="s">
        <v>91</v>
      </c>
      <c r="P135" t="s">
        <v>92</v>
      </c>
      <c r="Q135" t="s">
        <v>93</v>
      </c>
      <c r="R135">
        <v>99999</v>
      </c>
      <c r="S135" t="s">
        <v>30</v>
      </c>
      <c r="T135" t="s">
        <v>48</v>
      </c>
      <c r="U135" t="s">
        <v>123</v>
      </c>
      <c r="V135" t="s">
        <v>124</v>
      </c>
      <c r="W135">
        <v>18.399999999999999</v>
      </c>
      <c r="X135">
        <v>98</v>
      </c>
      <c r="Y135">
        <v>1803.1999999999998</v>
      </c>
      <c r="Z135">
        <v>183.9264</v>
      </c>
    </row>
    <row r="136" spans="1:26" x14ac:dyDescent="0.35">
      <c r="A136">
        <v>1149</v>
      </c>
      <c r="B136">
        <v>41799</v>
      </c>
      <c r="C136">
        <v>9</v>
      </c>
      <c r="D136" t="s">
        <v>125</v>
      </c>
      <c r="E136" t="s">
        <v>126</v>
      </c>
      <c r="F136" t="s">
        <v>127</v>
      </c>
      <c r="G136" t="s">
        <v>128</v>
      </c>
      <c r="H136">
        <v>99999</v>
      </c>
      <c r="I136" t="s">
        <v>30</v>
      </c>
      <c r="J136" t="s">
        <v>129</v>
      </c>
      <c r="K136" t="s">
        <v>32</v>
      </c>
      <c r="L136">
        <v>41801</v>
      </c>
      <c r="M136" t="s">
        <v>46</v>
      </c>
      <c r="N136" t="s">
        <v>130</v>
      </c>
      <c r="O136" t="s">
        <v>126</v>
      </c>
      <c r="P136" t="s">
        <v>127</v>
      </c>
      <c r="Q136" t="s">
        <v>128</v>
      </c>
      <c r="R136">
        <v>99999</v>
      </c>
      <c r="S136" t="s">
        <v>30</v>
      </c>
      <c r="T136" t="s">
        <v>35</v>
      </c>
      <c r="U136" t="s">
        <v>131</v>
      </c>
      <c r="V136" t="s">
        <v>132</v>
      </c>
      <c r="W136">
        <v>19.5</v>
      </c>
      <c r="X136">
        <v>27</v>
      </c>
      <c r="Y136">
        <v>526.5</v>
      </c>
      <c r="Z136">
        <v>51.070500000000003</v>
      </c>
    </row>
    <row r="137" spans="1:26" x14ac:dyDescent="0.35">
      <c r="A137">
        <v>1150</v>
      </c>
      <c r="B137">
        <v>41799</v>
      </c>
      <c r="C137">
        <v>9</v>
      </c>
      <c r="D137" t="s">
        <v>125</v>
      </c>
      <c r="E137" t="s">
        <v>126</v>
      </c>
      <c r="F137" t="s">
        <v>127</v>
      </c>
      <c r="G137" t="s">
        <v>128</v>
      </c>
      <c r="H137">
        <v>99999</v>
      </c>
      <c r="I137" t="s">
        <v>30</v>
      </c>
      <c r="J137" t="s">
        <v>129</v>
      </c>
      <c r="K137" t="s">
        <v>32</v>
      </c>
      <c r="L137">
        <v>41801</v>
      </c>
      <c r="M137" t="s">
        <v>46</v>
      </c>
      <c r="N137" t="s">
        <v>130</v>
      </c>
      <c r="O137" t="s">
        <v>126</v>
      </c>
      <c r="P137" t="s">
        <v>127</v>
      </c>
      <c r="Q137" t="s">
        <v>128</v>
      </c>
      <c r="R137">
        <v>99999</v>
      </c>
      <c r="S137" t="s">
        <v>30</v>
      </c>
      <c r="T137" t="s">
        <v>35</v>
      </c>
      <c r="U137" t="s">
        <v>133</v>
      </c>
      <c r="V137" t="s">
        <v>134</v>
      </c>
      <c r="W137">
        <v>34.799999999999997</v>
      </c>
      <c r="X137">
        <v>88</v>
      </c>
      <c r="Y137">
        <v>3062.3999999999996</v>
      </c>
      <c r="Z137">
        <v>303.17759999999993</v>
      </c>
    </row>
    <row r="138" spans="1:26" x14ac:dyDescent="0.35">
      <c r="A138">
        <v>1151</v>
      </c>
      <c r="B138">
        <v>41796</v>
      </c>
      <c r="C138">
        <v>6</v>
      </c>
      <c r="D138" t="s">
        <v>82</v>
      </c>
      <c r="E138" t="s">
        <v>83</v>
      </c>
      <c r="F138" t="s">
        <v>84</v>
      </c>
      <c r="G138" t="s">
        <v>85</v>
      </c>
      <c r="H138">
        <v>99999</v>
      </c>
      <c r="I138" t="s">
        <v>30</v>
      </c>
      <c r="J138" t="s">
        <v>86</v>
      </c>
      <c r="K138" t="s">
        <v>61</v>
      </c>
      <c r="L138">
        <v>41798</v>
      </c>
      <c r="M138" t="s">
        <v>33</v>
      </c>
      <c r="N138" t="s">
        <v>87</v>
      </c>
      <c r="O138" t="s">
        <v>83</v>
      </c>
      <c r="P138" t="s">
        <v>84</v>
      </c>
      <c r="Q138" t="s">
        <v>85</v>
      </c>
      <c r="R138">
        <v>99999</v>
      </c>
      <c r="S138" t="s">
        <v>30</v>
      </c>
      <c r="T138" t="s">
        <v>48</v>
      </c>
      <c r="U138" t="s">
        <v>36</v>
      </c>
      <c r="V138" t="s">
        <v>37</v>
      </c>
      <c r="W138">
        <v>14</v>
      </c>
      <c r="X138">
        <v>65</v>
      </c>
      <c r="Y138">
        <v>910</v>
      </c>
      <c r="Z138">
        <v>95.55</v>
      </c>
    </row>
    <row r="139" spans="1:26" x14ac:dyDescent="0.35">
      <c r="A139">
        <v>1152</v>
      </c>
      <c r="B139">
        <v>41798</v>
      </c>
      <c r="C139">
        <v>8</v>
      </c>
      <c r="D139" t="s">
        <v>56</v>
      </c>
      <c r="E139" t="s">
        <v>57</v>
      </c>
      <c r="F139" t="s">
        <v>58</v>
      </c>
      <c r="G139" t="s">
        <v>59</v>
      </c>
      <c r="H139">
        <v>99999</v>
      </c>
      <c r="I139" t="s">
        <v>30</v>
      </c>
      <c r="J139" t="s">
        <v>60</v>
      </c>
      <c r="K139" t="s">
        <v>61</v>
      </c>
      <c r="L139">
        <v>41800</v>
      </c>
      <c r="M139" t="s">
        <v>33</v>
      </c>
      <c r="N139" t="s">
        <v>63</v>
      </c>
      <c r="O139" t="s">
        <v>57</v>
      </c>
      <c r="P139" t="s">
        <v>58</v>
      </c>
      <c r="Q139" t="s">
        <v>59</v>
      </c>
      <c r="R139">
        <v>99999</v>
      </c>
      <c r="S139" t="s">
        <v>30</v>
      </c>
      <c r="T139" t="s">
        <v>35</v>
      </c>
      <c r="U139" t="s">
        <v>88</v>
      </c>
      <c r="V139" t="s">
        <v>89</v>
      </c>
      <c r="W139">
        <v>40</v>
      </c>
      <c r="X139">
        <v>38</v>
      </c>
      <c r="Y139">
        <v>1520</v>
      </c>
      <c r="Z139">
        <v>148.96</v>
      </c>
    </row>
    <row r="140" spans="1:26" x14ac:dyDescent="0.35">
      <c r="A140">
        <v>1153</v>
      </c>
      <c r="B140">
        <v>41798</v>
      </c>
      <c r="C140">
        <v>8</v>
      </c>
      <c r="D140" t="s">
        <v>56</v>
      </c>
      <c r="E140" t="s">
        <v>57</v>
      </c>
      <c r="F140" t="s">
        <v>58</v>
      </c>
      <c r="G140" t="s">
        <v>59</v>
      </c>
      <c r="H140">
        <v>99999</v>
      </c>
      <c r="I140" t="s">
        <v>30</v>
      </c>
      <c r="J140" t="s">
        <v>60</v>
      </c>
      <c r="K140" t="s">
        <v>61</v>
      </c>
      <c r="L140">
        <v>41800</v>
      </c>
      <c r="M140" t="s">
        <v>33</v>
      </c>
      <c r="N140" t="s">
        <v>63</v>
      </c>
      <c r="O140" t="s">
        <v>57</v>
      </c>
      <c r="P140" t="s">
        <v>58</v>
      </c>
      <c r="Q140" t="s">
        <v>59</v>
      </c>
      <c r="R140">
        <v>99999</v>
      </c>
      <c r="S140" t="s">
        <v>30</v>
      </c>
      <c r="T140" t="s">
        <v>35</v>
      </c>
      <c r="U140" t="s">
        <v>64</v>
      </c>
      <c r="V140" t="s">
        <v>65</v>
      </c>
      <c r="W140">
        <v>9.1999999999999993</v>
      </c>
      <c r="X140">
        <v>80</v>
      </c>
      <c r="Y140">
        <v>736</v>
      </c>
      <c r="Z140">
        <v>70.656000000000006</v>
      </c>
    </row>
    <row r="141" spans="1:26" x14ac:dyDescent="0.35">
      <c r="A141">
        <v>1154</v>
      </c>
      <c r="B141">
        <v>41815</v>
      </c>
      <c r="C141">
        <v>25</v>
      </c>
      <c r="D141" t="s">
        <v>137</v>
      </c>
      <c r="E141" t="s">
        <v>138</v>
      </c>
      <c r="F141" t="s">
        <v>99</v>
      </c>
      <c r="G141" t="s">
        <v>100</v>
      </c>
      <c r="H141">
        <v>99999</v>
      </c>
      <c r="I141" t="s">
        <v>30</v>
      </c>
      <c r="J141" t="s">
        <v>101</v>
      </c>
      <c r="K141" t="s">
        <v>45</v>
      </c>
      <c r="L141">
        <v>41817</v>
      </c>
      <c r="M141" t="s">
        <v>46</v>
      </c>
      <c r="N141" t="s">
        <v>139</v>
      </c>
      <c r="O141" t="s">
        <v>138</v>
      </c>
      <c r="P141" t="s">
        <v>99</v>
      </c>
      <c r="Q141" t="s">
        <v>100</v>
      </c>
      <c r="R141">
        <v>99999</v>
      </c>
      <c r="S141" t="s">
        <v>30</v>
      </c>
      <c r="T141" t="s">
        <v>79</v>
      </c>
      <c r="U141" t="s">
        <v>146</v>
      </c>
      <c r="V141" t="s">
        <v>65</v>
      </c>
      <c r="W141">
        <v>10</v>
      </c>
      <c r="X141">
        <v>49</v>
      </c>
      <c r="Y141">
        <v>490</v>
      </c>
      <c r="Z141">
        <v>47.04</v>
      </c>
    </row>
    <row r="142" spans="1:26" x14ac:dyDescent="0.35">
      <c r="A142">
        <v>1155</v>
      </c>
      <c r="B142">
        <v>41816</v>
      </c>
      <c r="C142">
        <v>26</v>
      </c>
      <c r="D142" t="s">
        <v>140</v>
      </c>
      <c r="E142" t="s">
        <v>141</v>
      </c>
      <c r="F142" t="s">
        <v>115</v>
      </c>
      <c r="G142" t="s">
        <v>116</v>
      </c>
      <c r="H142">
        <v>99999</v>
      </c>
      <c r="I142" t="s">
        <v>30</v>
      </c>
      <c r="J142" t="s">
        <v>94</v>
      </c>
      <c r="K142" t="s">
        <v>95</v>
      </c>
      <c r="L142">
        <v>41818</v>
      </c>
      <c r="M142" t="s">
        <v>62</v>
      </c>
      <c r="N142" t="s">
        <v>142</v>
      </c>
      <c r="O142" t="s">
        <v>141</v>
      </c>
      <c r="P142" t="s">
        <v>115</v>
      </c>
      <c r="Q142" t="s">
        <v>116</v>
      </c>
      <c r="R142">
        <v>99999</v>
      </c>
      <c r="S142" t="s">
        <v>30</v>
      </c>
      <c r="T142" t="s">
        <v>48</v>
      </c>
      <c r="U142" t="s">
        <v>147</v>
      </c>
      <c r="V142" t="s">
        <v>148</v>
      </c>
      <c r="W142">
        <v>21.35</v>
      </c>
      <c r="X142">
        <v>90</v>
      </c>
      <c r="Y142">
        <v>1921.5000000000002</v>
      </c>
      <c r="Z142">
        <v>186.38550000000004</v>
      </c>
    </row>
    <row r="143" spans="1:26" x14ac:dyDescent="0.35">
      <c r="A143">
        <v>1156</v>
      </c>
      <c r="B143">
        <v>41816</v>
      </c>
      <c r="C143">
        <v>26</v>
      </c>
      <c r="D143" t="s">
        <v>140</v>
      </c>
      <c r="E143" t="s">
        <v>141</v>
      </c>
      <c r="F143" t="s">
        <v>115</v>
      </c>
      <c r="G143" t="s">
        <v>116</v>
      </c>
      <c r="H143">
        <v>99999</v>
      </c>
      <c r="I143" t="s">
        <v>30</v>
      </c>
      <c r="J143" t="s">
        <v>94</v>
      </c>
      <c r="K143" t="s">
        <v>95</v>
      </c>
      <c r="L143">
        <v>41818</v>
      </c>
      <c r="M143" t="s">
        <v>62</v>
      </c>
      <c r="N143" t="s">
        <v>142</v>
      </c>
      <c r="O143" t="s">
        <v>141</v>
      </c>
      <c r="P143" t="s">
        <v>115</v>
      </c>
      <c r="Q143" t="s">
        <v>116</v>
      </c>
      <c r="R143">
        <v>99999</v>
      </c>
      <c r="S143" t="s">
        <v>30</v>
      </c>
      <c r="T143" t="s">
        <v>48</v>
      </c>
      <c r="U143" t="s">
        <v>80</v>
      </c>
      <c r="V143" t="s">
        <v>81</v>
      </c>
      <c r="W143">
        <v>9.65</v>
      </c>
      <c r="X143">
        <v>60</v>
      </c>
      <c r="Y143">
        <v>579</v>
      </c>
      <c r="Z143">
        <v>59.637000000000008</v>
      </c>
    </row>
    <row r="144" spans="1:26" x14ac:dyDescent="0.35">
      <c r="A144">
        <v>1157</v>
      </c>
      <c r="B144">
        <v>41816</v>
      </c>
      <c r="C144">
        <v>26</v>
      </c>
      <c r="D144" t="s">
        <v>140</v>
      </c>
      <c r="E144" t="s">
        <v>141</v>
      </c>
      <c r="F144" t="s">
        <v>115</v>
      </c>
      <c r="G144" t="s">
        <v>116</v>
      </c>
      <c r="H144">
        <v>99999</v>
      </c>
      <c r="I144" t="s">
        <v>30</v>
      </c>
      <c r="J144" t="s">
        <v>94</v>
      </c>
      <c r="K144" t="s">
        <v>95</v>
      </c>
      <c r="L144">
        <v>41818</v>
      </c>
      <c r="M144" t="s">
        <v>62</v>
      </c>
      <c r="N144" t="s">
        <v>142</v>
      </c>
      <c r="O144" t="s">
        <v>141</v>
      </c>
      <c r="P144" t="s">
        <v>115</v>
      </c>
      <c r="Q144" t="s">
        <v>116</v>
      </c>
      <c r="R144">
        <v>99999</v>
      </c>
      <c r="S144" t="s">
        <v>30</v>
      </c>
      <c r="T144" t="s">
        <v>48</v>
      </c>
      <c r="U144" t="s">
        <v>123</v>
      </c>
      <c r="V144" t="s">
        <v>124</v>
      </c>
      <c r="W144">
        <v>18.399999999999999</v>
      </c>
      <c r="X144">
        <v>39</v>
      </c>
      <c r="Y144">
        <v>717.59999999999991</v>
      </c>
      <c r="Z144">
        <v>71.759999999999991</v>
      </c>
    </row>
    <row r="145" spans="1:26" x14ac:dyDescent="0.35">
      <c r="A145">
        <v>1158</v>
      </c>
      <c r="B145">
        <v>41819</v>
      </c>
      <c r="C145">
        <v>29</v>
      </c>
      <c r="D145" t="s">
        <v>66</v>
      </c>
      <c r="E145" t="s">
        <v>67</v>
      </c>
      <c r="F145" t="s">
        <v>68</v>
      </c>
      <c r="G145" t="s">
        <v>69</v>
      </c>
      <c r="H145">
        <v>99999</v>
      </c>
      <c r="I145" t="s">
        <v>30</v>
      </c>
      <c r="J145" t="s">
        <v>70</v>
      </c>
      <c r="K145" t="s">
        <v>32</v>
      </c>
      <c r="L145">
        <v>41821</v>
      </c>
      <c r="M145" t="s">
        <v>33</v>
      </c>
      <c r="N145" t="s">
        <v>71</v>
      </c>
      <c r="O145" t="s">
        <v>67</v>
      </c>
      <c r="P145" t="s">
        <v>68</v>
      </c>
      <c r="Q145" t="s">
        <v>69</v>
      </c>
      <c r="R145">
        <v>99999</v>
      </c>
      <c r="S145" t="s">
        <v>30</v>
      </c>
      <c r="T145" t="s">
        <v>35</v>
      </c>
      <c r="U145" t="s">
        <v>36</v>
      </c>
      <c r="V145" t="s">
        <v>37</v>
      </c>
      <c r="W145">
        <v>14</v>
      </c>
      <c r="X145">
        <v>79</v>
      </c>
      <c r="Y145">
        <v>1106</v>
      </c>
      <c r="Z145">
        <v>113.91800000000001</v>
      </c>
    </row>
    <row r="146" spans="1:26" x14ac:dyDescent="0.35">
      <c r="A146">
        <v>1159</v>
      </c>
      <c r="B146">
        <v>41796</v>
      </c>
      <c r="C146">
        <v>6</v>
      </c>
      <c r="D146" t="s">
        <v>82</v>
      </c>
      <c r="E146" t="s">
        <v>83</v>
      </c>
      <c r="F146" t="s">
        <v>84</v>
      </c>
      <c r="G146" t="s">
        <v>85</v>
      </c>
      <c r="H146">
        <v>99999</v>
      </c>
      <c r="I146" t="s">
        <v>30</v>
      </c>
      <c r="J146" t="s">
        <v>86</v>
      </c>
      <c r="K146" t="s">
        <v>61</v>
      </c>
      <c r="L146">
        <v>41798</v>
      </c>
      <c r="M146" t="s">
        <v>62</v>
      </c>
      <c r="N146" t="s">
        <v>87</v>
      </c>
      <c r="O146" t="s">
        <v>83</v>
      </c>
      <c r="P146" t="s">
        <v>84</v>
      </c>
      <c r="Q146" t="s">
        <v>85</v>
      </c>
      <c r="R146">
        <v>99999</v>
      </c>
      <c r="S146" t="s">
        <v>30</v>
      </c>
      <c r="T146" t="s">
        <v>35</v>
      </c>
      <c r="U146" t="s">
        <v>72</v>
      </c>
      <c r="V146" t="s">
        <v>73</v>
      </c>
      <c r="W146">
        <v>12.75</v>
      </c>
      <c r="X146">
        <v>44</v>
      </c>
      <c r="Y146">
        <v>561</v>
      </c>
      <c r="Z146">
        <v>57.222000000000001</v>
      </c>
    </row>
    <row r="147" spans="1:26" x14ac:dyDescent="0.35">
      <c r="A147">
        <v>1161</v>
      </c>
      <c r="B147">
        <v>41794</v>
      </c>
      <c r="C147">
        <v>4</v>
      </c>
      <c r="D147" t="s">
        <v>40</v>
      </c>
      <c r="E147" t="s">
        <v>41</v>
      </c>
      <c r="F147" t="s">
        <v>42</v>
      </c>
      <c r="G147" t="s">
        <v>43</v>
      </c>
      <c r="H147">
        <v>99999</v>
      </c>
      <c r="I147" t="s">
        <v>30</v>
      </c>
      <c r="J147" t="s">
        <v>44</v>
      </c>
      <c r="K147" t="s">
        <v>45</v>
      </c>
      <c r="L147">
        <v>41796</v>
      </c>
      <c r="M147" t="s">
        <v>46</v>
      </c>
      <c r="N147" t="s">
        <v>47</v>
      </c>
      <c r="O147" t="s">
        <v>41</v>
      </c>
      <c r="P147" t="s">
        <v>42</v>
      </c>
      <c r="Q147" t="s">
        <v>43</v>
      </c>
      <c r="R147">
        <v>99999</v>
      </c>
      <c r="S147" t="s">
        <v>30</v>
      </c>
      <c r="T147" t="s">
        <v>48</v>
      </c>
      <c r="U147" t="s">
        <v>149</v>
      </c>
      <c r="V147" t="s">
        <v>110</v>
      </c>
      <c r="W147">
        <v>81</v>
      </c>
      <c r="X147">
        <v>98</v>
      </c>
      <c r="Y147">
        <v>7938</v>
      </c>
      <c r="Z147">
        <v>769.98599999999999</v>
      </c>
    </row>
    <row r="148" spans="1:26" x14ac:dyDescent="0.35">
      <c r="A148">
        <v>1162</v>
      </c>
      <c r="B148">
        <v>41794</v>
      </c>
      <c r="C148">
        <v>4</v>
      </c>
      <c r="D148" t="s">
        <v>40</v>
      </c>
      <c r="E148" t="s">
        <v>41</v>
      </c>
      <c r="F148" t="s">
        <v>42</v>
      </c>
      <c r="G148" t="s">
        <v>43</v>
      </c>
      <c r="H148">
        <v>99999</v>
      </c>
      <c r="I148" t="s">
        <v>30</v>
      </c>
      <c r="J148" t="s">
        <v>44</v>
      </c>
      <c r="K148" t="s">
        <v>45</v>
      </c>
      <c r="L148">
        <v>41796</v>
      </c>
      <c r="M148" t="s">
        <v>46</v>
      </c>
      <c r="N148" t="s">
        <v>47</v>
      </c>
      <c r="O148" t="s">
        <v>41</v>
      </c>
      <c r="P148" t="s">
        <v>42</v>
      </c>
      <c r="Q148" t="s">
        <v>43</v>
      </c>
      <c r="R148">
        <v>99999</v>
      </c>
      <c r="S148" t="s">
        <v>30</v>
      </c>
      <c r="T148" t="s">
        <v>48</v>
      </c>
      <c r="U148" t="s">
        <v>150</v>
      </c>
      <c r="V148" t="s">
        <v>151</v>
      </c>
      <c r="W148">
        <v>7</v>
      </c>
      <c r="X148">
        <v>61</v>
      </c>
      <c r="Y148">
        <v>427</v>
      </c>
      <c r="Z148">
        <v>42.273000000000003</v>
      </c>
    </row>
    <row r="149" spans="1:26" x14ac:dyDescent="0.35">
      <c r="A149">
        <v>1164</v>
      </c>
      <c r="B149">
        <v>41798</v>
      </c>
      <c r="C149">
        <v>8</v>
      </c>
      <c r="D149" t="s">
        <v>56</v>
      </c>
      <c r="E149" t="s">
        <v>57</v>
      </c>
      <c r="F149" t="s">
        <v>58</v>
      </c>
      <c r="G149" t="s">
        <v>59</v>
      </c>
      <c r="H149">
        <v>99999</v>
      </c>
      <c r="I149" t="s">
        <v>30</v>
      </c>
      <c r="J149" t="s">
        <v>60</v>
      </c>
      <c r="K149" t="s">
        <v>61</v>
      </c>
      <c r="L149">
        <v>41800</v>
      </c>
      <c r="M149" t="s">
        <v>62</v>
      </c>
      <c r="N149" t="s">
        <v>63</v>
      </c>
      <c r="O149" t="s">
        <v>57</v>
      </c>
      <c r="P149" t="s">
        <v>58</v>
      </c>
      <c r="Q149" t="s">
        <v>59</v>
      </c>
      <c r="R149">
        <v>99999</v>
      </c>
      <c r="S149" t="s">
        <v>30</v>
      </c>
      <c r="T149" t="s">
        <v>48</v>
      </c>
      <c r="U149" t="s">
        <v>133</v>
      </c>
      <c r="V149" t="s">
        <v>134</v>
      </c>
      <c r="W149">
        <v>34.799999999999997</v>
      </c>
      <c r="X149">
        <v>30</v>
      </c>
      <c r="Y149">
        <v>1044</v>
      </c>
      <c r="Z149">
        <v>109.62</v>
      </c>
    </row>
    <row r="150" spans="1:26" x14ac:dyDescent="0.35">
      <c r="A150">
        <v>1167</v>
      </c>
      <c r="B150">
        <v>41793</v>
      </c>
      <c r="C150">
        <v>3</v>
      </c>
      <c r="D150" t="s">
        <v>74</v>
      </c>
      <c r="E150" t="s">
        <v>75</v>
      </c>
      <c r="F150" t="s">
        <v>76</v>
      </c>
      <c r="G150" t="s">
        <v>77</v>
      </c>
      <c r="H150">
        <v>99999</v>
      </c>
      <c r="I150" t="s">
        <v>30</v>
      </c>
      <c r="J150" t="s">
        <v>31</v>
      </c>
      <c r="K150" t="s">
        <v>32</v>
      </c>
      <c r="L150">
        <v>41795</v>
      </c>
      <c r="M150" t="s">
        <v>33</v>
      </c>
      <c r="N150" t="s">
        <v>78</v>
      </c>
      <c r="O150" t="s">
        <v>75</v>
      </c>
      <c r="P150" t="s">
        <v>76</v>
      </c>
      <c r="Q150" t="s">
        <v>77</v>
      </c>
      <c r="R150">
        <v>99999</v>
      </c>
      <c r="S150" t="s">
        <v>30</v>
      </c>
      <c r="T150" t="s">
        <v>79</v>
      </c>
      <c r="U150" t="s">
        <v>135</v>
      </c>
      <c r="V150" t="s">
        <v>112</v>
      </c>
      <c r="W150">
        <v>10</v>
      </c>
      <c r="X150">
        <v>24</v>
      </c>
      <c r="Y150">
        <v>240</v>
      </c>
      <c r="Z150">
        <v>25.200000000000003</v>
      </c>
    </row>
    <row r="151" spans="1:26" x14ac:dyDescent="0.35">
      <c r="A151">
        <v>1168</v>
      </c>
      <c r="B151">
        <v>41793</v>
      </c>
      <c r="C151">
        <v>3</v>
      </c>
      <c r="D151" t="s">
        <v>74</v>
      </c>
      <c r="E151" t="s">
        <v>75</v>
      </c>
      <c r="F151" t="s">
        <v>76</v>
      </c>
      <c r="G151" t="s">
        <v>77</v>
      </c>
      <c r="H151">
        <v>99999</v>
      </c>
      <c r="I151" t="s">
        <v>30</v>
      </c>
      <c r="J151" t="s">
        <v>31</v>
      </c>
      <c r="K151" t="s">
        <v>32</v>
      </c>
      <c r="L151">
        <v>41795</v>
      </c>
      <c r="M151" t="s">
        <v>33</v>
      </c>
      <c r="N151" t="s">
        <v>78</v>
      </c>
      <c r="O151" t="s">
        <v>75</v>
      </c>
      <c r="P151" t="s">
        <v>76</v>
      </c>
      <c r="Q151" t="s">
        <v>77</v>
      </c>
      <c r="R151">
        <v>99999</v>
      </c>
      <c r="S151" t="s">
        <v>30</v>
      </c>
      <c r="T151" t="s">
        <v>79</v>
      </c>
      <c r="U151" t="s">
        <v>88</v>
      </c>
      <c r="V151" t="s">
        <v>89</v>
      </c>
      <c r="W151">
        <v>40</v>
      </c>
      <c r="X151">
        <v>28</v>
      </c>
      <c r="Y151">
        <v>1120</v>
      </c>
      <c r="Z151">
        <v>109.75999999999999</v>
      </c>
    </row>
    <row r="152" spans="1:26" x14ac:dyDescent="0.35">
      <c r="A152">
        <v>1172</v>
      </c>
      <c r="B152">
        <v>41800</v>
      </c>
      <c r="C152">
        <v>10</v>
      </c>
      <c r="D152" t="s">
        <v>97</v>
      </c>
      <c r="E152" t="s">
        <v>98</v>
      </c>
      <c r="F152" t="s">
        <v>99</v>
      </c>
      <c r="G152" t="s">
        <v>100</v>
      </c>
      <c r="H152">
        <v>99999</v>
      </c>
      <c r="I152" t="s">
        <v>30</v>
      </c>
      <c r="J152" t="s">
        <v>101</v>
      </c>
      <c r="K152" t="s">
        <v>45</v>
      </c>
      <c r="L152">
        <v>41802</v>
      </c>
      <c r="M152" t="s">
        <v>33</v>
      </c>
      <c r="N152" t="s">
        <v>102</v>
      </c>
      <c r="O152" t="s">
        <v>98</v>
      </c>
      <c r="P152" t="s">
        <v>99</v>
      </c>
      <c r="Q152" t="s">
        <v>100</v>
      </c>
      <c r="R152">
        <v>99999</v>
      </c>
      <c r="S152" t="s">
        <v>30</v>
      </c>
      <c r="T152" t="s">
        <v>48</v>
      </c>
      <c r="U152" t="s">
        <v>136</v>
      </c>
      <c r="V152" t="s">
        <v>39</v>
      </c>
      <c r="W152">
        <v>10</v>
      </c>
      <c r="X152">
        <v>74</v>
      </c>
      <c r="Y152">
        <v>740</v>
      </c>
      <c r="Z152">
        <v>71.78</v>
      </c>
    </row>
    <row r="153" spans="1:26" x14ac:dyDescent="0.35">
      <c r="A153">
        <v>1174</v>
      </c>
      <c r="B153">
        <v>41800</v>
      </c>
      <c r="C153">
        <v>10</v>
      </c>
      <c r="D153" t="s">
        <v>97</v>
      </c>
      <c r="E153" t="s">
        <v>98</v>
      </c>
      <c r="F153" t="s">
        <v>99</v>
      </c>
      <c r="G153" t="s">
        <v>100</v>
      </c>
      <c r="H153">
        <v>99999</v>
      </c>
      <c r="I153" t="s">
        <v>30</v>
      </c>
      <c r="J153" t="s">
        <v>101</v>
      </c>
      <c r="K153" t="s">
        <v>45</v>
      </c>
      <c r="M153" t="s">
        <v>46</v>
      </c>
      <c r="N153" t="s">
        <v>102</v>
      </c>
      <c r="O153" t="s">
        <v>98</v>
      </c>
      <c r="P153" t="s">
        <v>99</v>
      </c>
      <c r="Q153" t="s">
        <v>100</v>
      </c>
      <c r="R153">
        <v>99999</v>
      </c>
      <c r="S153" t="s">
        <v>30</v>
      </c>
      <c r="U153" t="s">
        <v>38</v>
      </c>
      <c r="V153" t="s">
        <v>39</v>
      </c>
      <c r="W153">
        <v>3.5</v>
      </c>
      <c r="X153">
        <v>90</v>
      </c>
      <c r="Y153">
        <v>315</v>
      </c>
      <c r="Z153">
        <v>30.24</v>
      </c>
    </row>
    <row r="154" spans="1:26" x14ac:dyDescent="0.35">
      <c r="A154">
        <v>1175</v>
      </c>
      <c r="B154">
        <v>41801</v>
      </c>
      <c r="C154">
        <v>11</v>
      </c>
      <c r="D154" t="s">
        <v>113</v>
      </c>
      <c r="E154" t="s">
        <v>114</v>
      </c>
      <c r="F154" t="s">
        <v>115</v>
      </c>
      <c r="G154" t="s">
        <v>116</v>
      </c>
      <c r="H154">
        <v>99999</v>
      </c>
      <c r="I154" t="s">
        <v>30</v>
      </c>
      <c r="J154" t="s">
        <v>94</v>
      </c>
      <c r="K154" t="s">
        <v>95</v>
      </c>
      <c r="M154" t="s">
        <v>62</v>
      </c>
      <c r="N154" t="s">
        <v>117</v>
      </c>
      <c r="O154" t="s">
        <v>114</v>
      </c>
      <c r="P154" t="s">
        <v>115</v>
      </c>
      <c r="Q154" t="s">
        <v>116</v>
      </c>
      <c r="R154">
        <v>99999</v>
      </c>
      <c r="S154" t="s">
        <v>30</v>
      </c>
      <c r="U154" t="s">
        <v>88</v>
      </c>
      <c r="V154" t="s">
        <v>89</v>
      </c>
      <c r="W154">
        <v>40</v>
      </c>
      <c r="X154">
        <v>27</v>
      </c>
      <c r="Y154">
        <v>1080</v>
      </c>
      <c r="Z154">
        <v>111.24000000000001</v>
      </c>
    </row>
    <row r="155" spans="1:26" x14ac:dyDescent="0.35">
      <c r="A155">
        <v>1176</v>
      </c>
      <c r="B155">
        <v>41791</v>
      </c>
      <c r="C155">
        <v>1</v>
      </c>
      <c r="D155" t="s">
        <v>118</v>
      </c>
      <c r="E155" t="s">
        <v>119</v>
      </c>
      <c r="F155" t="s">
        <v>120</v>
      </c>
      <c r="G155" t="s">
        <v>121</v>
      </c>
      <c r="H155">
        <v>99999</v>
      </c>
      <c r="I155" t="s">
        <v>30</v>
      </c>
      <c r="J155" t="s">
        <v>60</v>
      </c>
      <c r="K155" t="s">
        <v>61</v>
      </c>
      <c r="M155" t="s">
        <v>62</v>
      </c>
      <c r="N155" t="s">
        <v>122</v>
      </c>
      <c r="O155" t="s">
        <v>119</v>
      </c>
      <c r="P155" t="s">
        <v>120</v>
      </c>
      <c r="Q155" t="s">
        <v>121</v>
      </c>
      <c r="R155">
        <v>99999</v>
      </c>
      <c r="S155" t="s">
        <v>30</v>
      </c>
      <c r="U155" t="s">
        <v>123</v>
      </c>
      <c r="V155" t="s">
        <v>124</v>
      </c>
      <c r="W155">
        <v>18.399999999999999</v>
      </c>
      <c r="X155">
        <v>71</v>
      </c>
      <c r="Y155">
        <v>1306.3999999999999</v>
      </c>
      <c r="Z155">
        <v>137.172</v>
      </c>
    </row>
    <row r="156" spans="1:26" x14ac:dyDescent="0.35">
      <c r="A156">
        <v>1177</v>
      </c>
      <c r="B156">
        <v>41818</v>
      </c>
      <c r="C156">
        <v>28</v>
      </c>
      <c r="D156" t="s">
        <v>90</v>
      </c>
      <c r="E156" t="s">
        <v>91</v>
      </c>
      <c r="F156" t="s">
        <v>92</v>
      </c>
      <c r="G156" t="s">
        <v>93</v>
      </c>
      <c r="H156">
        <v>99999</v>
      </c>
      <c r="I156" t="s">
        <v>30</v>
      </c>
      <c r="J156" t="s">
        <v>94</v>
      </c>
      <c r="K156" t="s">
        <v>95</v>
      </c>
      <c r="L156">
        <v>41820</v>
      </c>
      <c r="M156" t="s">
        <v>62</v>
      </c>
      <c r="N156" t="s">
        <v>96</v>
      </c>
      <c r="O156" t="s">
        <v>91</v>
      </c>
      <c r="P156" t="s">
        <v>92</v>
      </c>
      <c r="Q156" t="s">
        <v>93</v>
      </c>
      <c r="R156">
        <v>99999</v>
      </c>
      <c r="S156" t="s">
        <v>30</v>
      </c>
      <c r="T156" t="s">
        <v>48</v>
      </c>
      <c r="U156" t="s">
        <v>55</v>
      </c>
      <c r="V156" t="s">
        <v>37</v>
      </c>
      <c r="W156">
        <v>46</v>
      </c>
      <c r="X156">
        <v>74</v>
      </c>
      <c r="Y156">
        <v>3404</v>
      </c>
      <c r="Z156">
        <v>340.40000000000003</v>
      </c>
    </row>
    <row r="157" spans="1:26" x14ac:dyDescent="0.35">
      <c r="A157">
        <v>1178</v>
      </c>
      <c r="B157">
        <v>41799</v>
      </c>
      <c r="C157">
        <v>9</v>
      </c>
      <c r="D157" t="s">
        <v>125</v>
      </c>
      <c r="E157" t="s">
        <v>126</v>
      </c>
      <c r="F157" t="s">
        <v>127</v>
      </c>
      <c r="G157" t="s">
        <v>128</v>
      </c>
      <c r="H157">
        <v>99999</v>
      </c>
      <c r="I157" t="s">
        <v>30</v>
      </c>
      <c r="J157" t="s">
        <v>129</v>
      </c>
      <c r="K157" t="s">
        <v>32</v>
      </c>
      <c r="L157">
        <v>41801</v>
      </c>
      <c r="M157" t="s">
        <v>46</v>
      </c>
      <c r="N157" t="s">
        <v>130</v>
      </c>
      <c r="O157" t="s">
        <v>126</v>
      </c>
      <c r="P157" t="s">
        <v>127</v>
      </c>
      <c r="Q157" t="s">
        <v>128</v>
      </c>
      <c r="R157">
        <v>99999</v>
      </c>
      <c r="S157" t="s">
        <v>30</v>
      </c>
      <c r="T157" t="s">
        <v>35</v>
      </c>
      <c r="U157" t="s">
        <v>80</v>
      </c>
      <c r="V157" t="s">
        <v>81</v>
      </c>
      <c r="W157">
        <v>9.65</v>
      </c>
      <c r="X157">
        <v>76</v>
      </c>
      <c r="Y157">
        <v>733.4</v>
      </c>
      <c r="Z157">
        <v>72.6066</v>
      </c>
    </row>
    <row r="158" spans="1:26" x14ac:dyDescent="0.35">
      <c r="A158">
        <v>1179</v>
      </c>
      <c r="B158">
        <v>41796</v>
      </c>
      <c r="C158">
        <v>6</v>
      </c>
      <c r="D158" t="s">
        <v>82</v>
      </c>
      <c r="E158" t="s">
        <v>83</v>
      </c>
      <c r="F158" t="s">
        <v>84</v>
      </c>
      <c r="G158" t="s">
        <v>85</v>
      </c>
      <c r="H158">
        <v>99999</v>
      </c>
      <c r="I158" t="s">
        <v>30</v>
      </c>
      <c r="J158" t="s">
        <v>86</v>
      </c>
      <c r="K158" t="s">
        <v>61</v>
      </c>
      <c r="L158">
        <v>41798</v>
      </c>
      <c r="M158" t="s">
        <v>33</v>
      </c>
      <c r="N158" t="s">
        <v>87</v>
      </c>
      <c r="O158" t="s">
        <v>83</v>
      </c>
      <c r="P158" t="s">
        <v>84</v>
      </c>
      <c r="Q158" t="s">
        <v>85</v>
      </c>
      <c r="R158">
        <v>99999</v>
      </c>
      <c r="S158" t="s">
        <v>30</v>
      </c>
      <c r="T158" t="s">
        <v>48</v>
      </c>
      <c r="U158" t="s">
        <v>72</v>
      </c>
      <c r="V158" t="s">
        <v>73</v>
      </c>
      <c r="W158">
        <v>12.75</v>
      </c>
      <c r="X158">
        <v>96</v>
      </c>
      <c r="Y158">
        <v>1224</v>
      </c>
      <c r="Z158">
        <v>123.62400000000001</v>
      </c>
    </row>
    <row r="159" spans="1:26" x14ac:dyDescent="0.35">
      <c r="A159">
        <v>1180</v>
      </c>
      <c r="B159">
        <v>41798</v>
      </c>
      <c r="C159">
        <v>8</v>
      </c>
      <c r="D159" t="s">
        <v>56</v>
      </c>
      <c r="E159" t="s">
        <v>57</v>
      </c>
      <c r="F159" t="s">
        <v>58</v>
      </c>
      <c r="G159" t="s">
        <v>59</v>
      </c>
      <c r="H159">
        <v>99999</v>
      </c>
      <c r="I159" t="s">
        <v>30</v>
      </c>
      <c r="J159" t="s">
        <v>60</v>
      </c>
      <c r="K159" t="s">
        <v>61</v>
      </c>
      <c r="L159">
        <v>41800</v>
      </c>
      <c r="M159" t="s">
        <v>33</v>
      </c>
      <c r="N159" t="s">
        <v>63</v>
      </c>
      <c r="O159" t="s">
        <v>57</v>
      </c>
      <c r="P159" t="s">
        <v>58</v>
      </c>
      <c r="Q159" t="s">
        <v>59</v>
      </c>
      <c r="R159">
        <v>99999</v>
      </c>
      <c r="S159" t="s">
        <v>30</v>
      </c>
      <c r="T159" t="s">
        <v>35</v>
      </c>
      <c r="U159" t="s">
        <v>72</v>
      </c>
      <c r="V159" t="s">
        <v>73</v>
      </c>
      <c r="W159">
        <v>12.75</v>
      </c>
      <c r="X159">
        <v>92</v>
      </c>
      <c r="Y159">
        <v>1173</v>
      </c>
      <c r="Z159">
        <v>116.12700000000001</v>
      </c>
    </row>
    <row r="160" spans="1:26" x14ac:dyDescent="0.35">
      <c r="A160">
        <v>1181</v>
      </c>
      <c r="B160">
        <v>41815</v>
      </c>
      <c r="C160">
        <v>25</v>
      </c>
      <c r="D160" t="s">
        <v>137</v>
      </c>
      <c r="E160" t="s">
        <v>138</v>
      </c>
      <c r="F160" t="s">
        <v>99</v>
      </c>
      <c r="G160" t="s">
        <v>100</v>
      </c>
      <c r="H160">
        <v>99999</v>
      </c>
      <c r="I160" t="s">
        <v>30</v>
      </c>
      <c r="J160" t="s">
        <v>101</v>
      </c>
      <c r="K160" t="s">
        <v>45</v>
      </c>
      <c r="L160">
        <v>41817</v>
      </c>
      <c r="M160" t="s">
        <v>46</v>
      </c>
      <c r="N160" t="s">
        <v>139</v>
      </c>
      <c r="O160" t="s">
        <v>138</v>
      </c>
      <c r="P160" t="s">
        <v>99</v>
      </c>
      <c r="Q160" t="s">
        <v>100</v>
      </c>
      <c r="R160">
        <v>99999</v>
      </c>
      <c r="S160" t="s">
        <v>30</v>
      </c>
      <c r="T160" t="s">
        <v>79</v>
      </c>
      <c r="U160" t="s">
        <v>111</v>
      </c>
      <c r="V160" t="s">
        <v>112</v>
      </c>
      <c r="W160">
        <v>22</v>
      </c>
      <c r="X160">
        <v>93</v>
      </c>
      <c r="Y160">
        <v>2046</v>
      </c>
      <c r="Z160">
        <v>200.50800000000001</v>
      </c>
    </row>
    <row r="161" spans="1:26" x14ac:dyDescent="0.35">
      <c r="A161">
        <v>1182</v>
      </c>
      <c r="B161">
        <v>41816</v>
      </c>
      <c r="C161">
        <v>26</v>
      </c>
      <c r="D161" t="s">
        <v>140</v>
      </c>
      <c r="E161" t="s">
        <v>141</v>
      </c>
      <c r="F161" t="s">
        <v>115</v>
      </c>
      <c r="G161" t="s">
        <v>116</v>
      </c>
      <c r="H161">
        <v>99999</v>
      </c>
      <c r="I161" t="s">
        <v>30</v>
      </c>
      <c r="J161" t="s">
        <v>94</v>
      </c>
      <c r="K161" t="s">
        <v>95</v>
      </c>
      <c r="L161">
        <v>41818</v>
      </c>
      <c r="M161" t="s">
        <v>62</v>
      </c>
      <c r="N161" t="s">
        <v>142</v>
      </c>
      <c r="O161" t="s">
        <v>141</v>
      </c>
      <c r="P161" t="s">
        <v>115</v>
      </c>
      <c r="Q161" t="s">
        <v>116</v>
      </c>
      <c r="R161">
        <v>99999</v>
      </c>
      <c r="S161" t="s">
        <v>30</v>
      </c>
      <c r="T161" t="s">
        <v>48</v>
      </c>
      <c r="U161" t="s">
        <v>109</v>
      </c>
      <c r="V161" t="s">
        <v>110</v>
      </c>
      <c r="W161">
        <v>25</v>
      </c>
      <c r="X161">
        <v>18</v>
      </c>
      <c r="Y161">
        <v>450</v>
      </c>
      <c r="Z161">
        <v>42.75</v>
      </c>
    </row>
    <row r="162" spans="1:26" x14ac:dyDescent="0.35">
      <c r="A162">
        <v>1183</v>
      </c>
      <c r="B162">
        <v>41819</v>
      </c>
      <c r="C162">
        <v>29</v>
      </c>
      <c r="D162" t="s">
        <v>66</v>
      </c>
      <c r="E162" t="s">
        <v>67</v>
      </c>
      <c r="F162" t="s">
        <v>68</v>
      </c>
      <c r="G162" t="s">
        <v>69</v>
      </c>
      <c r="H162">
        <v>99999</v>
      </c>
      <c r="I162" t="s">
        <v>30</v>
      </c>
      <c r="J162" t="s">
        <v>70</v>
      </c>
      <c r="K162" t="s">
        <v>32</v>
      </c>
      <c r="L162">
        <v>41821</v>
      </c>
      <c r="M162" t="s">
        <v>33</v>
      </c>
      <c r="N162" t="s">
        <v>71</v>
      </c>
      <c r="O162" t="s">
        <v>67</v>
      </c>
      <c r="P162" t="s">
        <v>68</v>
      </c>
      <c r="Q162" t="s">
        <v>69</v>
      </c>
      <c r="R162">
        <v>99999</v>
      </c>
      <c r="S162" t="s">
        <v>30</v>
      </c>
      <c r="T162" t="s">
        <v>35</v>
      </c>
      <c r="U162" t="s">
        <v>143</v>
      </c>
      <c r="V162" t="s">
        <v>144</v>
      </c>
      <c r="W162">
        <v>39</v>
      </c>
      <c r="X162">
        <v>98</v>
      </c>
      <c r="Y162">
        <v>3822</v>
      </c>
      <c r="Z162">
        <v>397.48800000000006</v>
      </c>
    </row>
    <row r="163" spans="1:26" x14ac:dyDescent="0.35">
      <c r="A163">
        <v>1184</v>
      </c>
      <c r="B163">
        <v>41796</v>
      </c>
      <c r="C163">
        <v>6</v>
      </c>
      <c r="D163" t="s">
        <v>82</v>
      </c>
      <c r="E163" t="s">
        <v>83</v>
      </c>
      <c r="F163" t="s">
        <v>84</v>
      </c>
      <c r="G163" t="s">
        <v>85</v>
      </c>
      <c r="H163">
        <v>99999</v>
      </c>
      <c r="I163" t="s">
        <v>30</v>
      </c>
      <c r="J163" t="s">
        <v>86</v>
      </c>
      <c r="K163" t="s">
        <v>61</v>
      </c>
      <c r="L163">
        <v>41798</v>
      </c>
      <c r="M163" t="s">
        <v>62</v>
      </c>
      <c r="N163" t="s">
        <v>87</v>
      </c>
      <c r="O163" t="s">
        <v>83</v>
      </c>
      <c r="P163" t="s">
        <v>84</v>
      </c>
      <c r="Q163" t="s">
        <v>85</v>
      </c>
      <c r="R163">
        <v>99999</v>
      </c>
      <c r="S163" t="s">
        <v>30</v>
      </c>
      <c r="T163" t="s">
        <v>35</v>
      </c>
      <c r="U163" t="s">
        <v>49</v>
      </c>
      <c r="V163" t="s">
        <v>39</v>
      </c>
      <c r="W163">
        <v>30</v>
      </c>
      <c r="X163">
        <v>46</v>
      </c>
      <c r="Y163">
        <v>1380</v>
      </c>
      <c r="Z163">
        <v>135.24</v>
      </c>
    </row>
    <row r="164" spans="1:26" x14ac:dyDescent="0.35">
      <c r="A164">
        <v>1185</v>
      </c>
      <c r="B164">
        <v>41796</v>
      </c>
      <c r="C164">
        <v>6</v>
      </c>
      <c r="D164" t="s">
        <v>82</v>
      </c>
      <c r="E164" t="s">
        <v>83</v>
      </c>
      <c r="F164" t="s">
        <v>84</v>
      </c>
      <c r="G164" t="s">
        <v>85</v>
      </c>
      <c r="H164">
        <v>99999</v>
      </c>
      <c r="I164" t="s">
        <v>30</v>
      </c>
      <c r="J164" t="s">
        <v>86</v>
      </c>
      <c r="K164" t="s">
        <v>61</v>
      </c>
      <c r="L164">
        <v>41798</v>
      </c>
      <c r="M164" t="s">
        <v>62</v>
      </c>
      <c r="N164" t="s">
        <v>87</v>
      </c>
      <c r="O164" t="s">
        <v>83</v>
      </c>
      <c r="P164" t="s">
        <v>84</v>
      </c>
      <c r="Q164" t="s">
        <v>85</v>
      </c>
      <c r="R164">
        <v>99999</v>
      </c>
      <c r="S164" t="s">
        <v>30</v>
      </c>
      <c r="T164" t="s">
        <v>35</v>
      </c>
      <c r="U164" t="s">
        <v>50</v>
      </c>
      <c r="V164" t="s">
        <v>39</v>
      </c>
      <c r="W164">
        <v>53</v>
      </c>
      <c r="X164">
        <v>14</v>
      </c>
      <c r="Y164">
        <v>742</v>
      </c>
      <c r="Z164">
        <v>74.2</v>
      </c>
    </row>
    <row r="165" spans="1:26" x14ac:dyDescent="0.35">
      <c r="A165">
        <v>1186</v>
      </c>
      <c r="B165">
        <v>41794</v>
      </c>
      <c r="C165">
        <v>4</v>
      </c>
      <c r="D165" t="s">
        <v>40</v>
      </c>
      <c r="E165" t="s">
        <v>41</v>
      </c>
      <c r="F165" t="s">
        <v>42</v>
      </c>
      <c r="G165" t="s">
        <v>43</v>
      </c>
      <c r="H165">
        <v>99999</v>
      </c>
      <c r="I165" t="s">
        <v>30</v>
      </c>
      <c r="J165" t="s">
        <v>44</v>
      </c>
      <c r="K165" t="s">
        <v>45</v>
      </c>
      <c r="N165" t="s">
        <v>47</v>
      </c>
      <c r="O165" t="s">
        <v>41</v>
      </c>
      <c r="P165" t="s">
        <v>42</v>
      </c>
      <c r="Q165" t="s">
        <v>43</v>
      </c>
      <c r="R165">
        <v>99999</v>
      </c>
      <c r="S165" t="s">
        <v>30</v>
      </c>
      <c r="U165" t="s">
        <v>145</v>
      </c>
      <c r="V165" t="s">
        <v>132</v>
      </c>
      <c r="W165">
        <v>38</v>
      </c>
      <c r="X165">
        <v>85</v>
      </c>
      <c r="Y165">
        <v>3230</v>
      </c>
      <c r="Z165">
        <v>319.77</v>
      </c>
    </row>
    <row r="166" spans="1:26" x14ac:dyDescent="0.35">
      <c r="A166">
        <v>1187</v>
      </c>
      <c r="B166">
        <v>41793</v>
      </c>
      <c r="C166">
        <v>3</v>
      </c>
      <c r="D166" t="s">
        <v>74</v>
      </c>
      <c r="E166" t="s">
        <v>75</v>
      </c>
      <c r="F166" t="s">
        <v>76</v>
      </c>
      <c r="G166" t="s">
        <v>77</v>
      </c>
      <c r="H166">
        <v>99999</v>
      </c>
      <c r="I166" t="s">
        <v>30</v>
      </c>
      <c r="J166" t="s">
        <v>31</v>
      </c>
      <c r="K166" t="s">
        <v>32</v>
      </c>
      <c r="N166" t="s">
        <v>78</v>
      </c>
      <c r="O166" t="s">
        <v>75</v>
      </c>
      <c r="P166" t="s">
        <v>76</v>
      </c>
      <c r="Q166" t="s">
        <v>77</v>
      </c>
      <c r="R166">
        <v>99999</v>
      </c>
      <c r="S166" t="s">
        <v>30</v>
      </c>
      <c r="U166" t="s">
        <v>103</v>
      </c>
      <c r="V166" t="s">
        <v>37</v>
      </c>
      <c r="W166">
        <v>2.99</v>
      </c>
      <c r="X166">
        <v>88</v>
      </c>
      <c r="Y166">
        <v>263.12</v>
      </c>
      <c r="Z166">
        <v>25.522639999999999</v>
      </c>
    </row>
    <row r="167" spans="1:26" x14ac:dyDescent="0.35">
      <c r="A167">
        <v>1188</v>
      </c>
      <c r="B167">
        <v>41821</v>
      </c>
      <c r="C167">
        <v>1</v>
      </c>
      <c r="D167" t="s">
        <v>118</v>
      </c>
      <c r="E167" t="s">
        <v>119</v>
      </c>
      <c r="F167" t="s">
        <v>120</v>
      </c>
      <c r="G167" t="s">
        <v>121</v>
      </c>
      <c r="H167">
        <v>99999</v>
      </c>
      <c r="I167" t="s">
        <v>30</v>
      </c>
      <c r="J167" t="s">
        <v>60</v>
      </c>
      <c r="K167" t="s">
        <v>61</v>
      </c>
      <c r="N167" t="s">
        <v>122</v>
      </c>
      <c r="O167" t="s">
        <v>119</v>
      </c>
      <c r="P167" t="s">
        <v>120</v>
      </c>
      <c r="Q167" t="s">
        <v>121</v>
      </c>
      <c r="R167">
        <v>99999</v>
      </c>
      <c r="S167" t="s">
        <v>30</v>
      </c>
      <c r="U167" t="s">
        <v>103</v>
      </c>
      <c r="V167" t="s">
        <v>37</v>
      </c>
      <c r="W167">
        <v>2.99</v>
      </c>
      <c r="X167">
        <v>81</v>
      </c>
      <c r="Y167">
        <v>242.19000000000003</v>
      </c>
      <c r="Z167">
        <v>23.976810000000004</v>
      </c>
    </row>
    <row r="168" spans="1:26" x14ac:dyDescent="0.35">
      <c r="A168">
        <v>1189</v>
      </c>
      <c r="B168">
        <v>41848</v>
      </c>
      <c r="C168">
        <v>28</v>
      </c>
      <c r="D168" t="s">
        <v>90</v>
      </c>
      <c r="E168" t="s">
        <v>91</v>
      </c>
      <c r="F168" t="s">
        <v>92</v>
      </c>
      <c r="G168" t="s">
        <v>93</v>
      </c>
      <c r="H168">
        <v>99999</v>
      </c>
      <c r="I168" t="s">
        <v>30</v>
      </c>
      <c r="J168" t="s">
        <v>94</v>
      </c>
      <c r="K168" t="s">
        <v>95</v>
      </c>
      <c r="L168">
        <v>41850</v>
      </c>
      <c r="M168" t="s">
        <v>62</v>
      </c>
      <c r="N168" t="s">
        <v>96</v>
      </c>
      <c r="O168" t="s">
        <v>91</v>
      </c>
      <c r="P168" t="s">
        <v>92</v>
      </c>
      <c r="Q168" t="s">
        <v>93</v>
      </c>
      <c r="R168">
        <v>99999</v>
      </c>
      <c r="S168" t="s">
        <v>30</v>
      </c>
      <c r="T168" t="s">
        <v>48</v>
      </c>
      <c r="U168" t="s">
        <v>80</v>
      </c>
      <c r="V168" t="s">
        <v>81</v>
      </c>
      <c r="W168">
        <v>9.65</v>
      </c>
      <c r="X168">
        <v>33</v>
      </c>
      <c r="Y168">
        <v>318.45</v>
      </c>
      <c r="Z168">
        <v>30.252749999999999</v>
      </c>
    </row>
    <row r="169" spans="1:26" x14ac:dyDescent="0.35">
      <c r="A169">
        <v>1190</v>
      </c>
      <c r="B169">
        <v>41848</v>
      </c>
      <c r="C169">
        <v>28</v>
      </c>
      <c r="D169" t="s">
        <v>90</v>
      </c>
      <c r="E169" t="s">
        <v>91</v>
      </c>
      <c r="F169" t="s">
        <v>92</v>
      </c>
      <c r="G169" t="s">
        <v>93</v>
      </c>
      <c r="H169">
        <v>99999</v>
      </c>
      <c r="I169" t="s">
        <v>30</v>
      </c>
      <c r="J169" t="s">
        <v>94</v>
      </c>
      <c r="K169" t="s">
        <v>95</v>
      </c>
      <c r="L169">
        <v>41850</v>
      </c>
      <c r="M169" t="s">
        <v>62</v>
      </c>
      <c r="N169" t="s">
        <v>96</v>
      </c>
      <c r="O169" t="s">
        <v>91</v>
      </c>
      <c r="P169" t="s">
        <v>92</v>
      </c>
      <c r="Q169" t="s">
        <v>93</v>
      </c>
      <c r="R169">
        <v>99999</v>
      </c>
      <c r="S169" t="s">
        <v>30</v>
      </c>
      <c r="T169" t="s">
        <v>48</v>
      </c>
      <c r="U169" t="s">
        <v>123</v>
      </c>
      <c r="V169" t="s">
        <v>124</v>
      </c>
      <c r="W169">
        <v>18.399999999999999</v>
      </c>
      <c r="X169">
        <v>47</v>
      </c>
      <c r="Y169">
        <v>864.8</v>
      </c>
      <c r="Z169">
        <v>90.804000000000002</v>
      </c>
    </row>
    <row r="170" spans="1:26" x14ac:dyDescent="0.35">
      <c r="A170">
        <v>1191</v>
      </c>
      <c r="B170">
        <v>41829</v>
      </c>
      <c r="C170">
        <v>9</v>
      </c>
      <c r="D170" t="s">
        <v>125</v>
      </c>
      <c r="E170" t="s">
        <v>126</v>
      </c>
      <c r="F170" t="s">
        <v>127</v>
      </c>
      <c r="G170" t="s">
        <v>128</v>
      </c>
      <c r="H170">
        <v>99999</v>
      </c>
      <c r="I170" t="s">
        <v>30</v>
      </c>
      <c r="J170" t="s">
        <v>129</v>
      </c>
      <c r="K170" t="s">
        <v>32</v>
      </c>
      <c r="L170">
        <v>41831</v>
      </c>
      <c r="M170" t="s">
        <v>46</v>
      </c>
      <c r="N170" t="s">
        <v>130</v>
      </c>
      <c r="O170" t="s">
        <v>126</v>
      </c>
      <c r="P170" t="s">
        <v>127</v>
      </c>
      <c r="Q170" t="s">
        <v>128</v>
      </c>
      <c r="R170">
        <v>99999</v>
      </c>
      <c r="S170" t="s">
        <v>30</v>
      </c>
      <c r="T170" t="s">
        <v>35</v>
      </c>
      <c r="U170" t="s">
        <v>131</v>
      </c>
      <c r="V170" t="s">
        <v>132</v>
      </c>
      <c r="W170">
        <v>19.5</v>
      </c>
      <c r="X170">
        <v>61</v>
      </c>
      <c r="Y170">
        <v>1189.5</v>
      </c>
      <c r="Z170">
        <v>123.70800000000001</v>
      </c>
    </row>
    <row r="171" spans="1:26" x14ac:dyDescent="0.35">
      <c r="A171">
        <v>1192</v>
      </c>
      <c r="B171">
        <v>41829</v>
      </c>
      <c r="C171">
        <v>9</v>
      </c>
      <c r="D171" t="s">
        <v>125</v>
      </c>
      <c r="E171" t="s">
        <v>126</v>
      </c>
      <c r="F171" t="s">
        <v>127</v>
      </c>
      <c r="G171" t="s">
        <v>128</v>
      </c>
      <c r="H171">
        <v>99999</v>
      </c>
      <c r="I171" t="s">
        <v>30</v>
      </c>
      <c r="J171" t="s">
        <v>129</v>
      </c>
      <c r="K171" t="s">
        <v>32</v>
      </c>
      <c r="L171">
        <v>41831</v>
      </c>
      <c r="M171" t="s">
        <v>46</v>
      </c>
      <c r="N171" t="s">
        <v>130</v>
      </c>
      <c r="O171" t="s">
        <v>126</v>
      </c>
      <c r="P171" t="s">
        <v>127</v>
      </c>
      <c r="Q171" t="s">
        <v>128</v>
      </c>
      <c r="R171">
        <v>99999</v>
      </c>
      <c r="S171" t="s">
        <v>30</v>
      </c>
      <c r="T171" t="s">
        <v>35</v>
      </c>
      <c r="U171" t="s">
        <v>133</v>
      </c>
      <c r="V171" t="s">
        <v>134</v>
      </c>
      <c r="W171">
        <v>34.799999999999997</v>
      </c>
      <c r="X171">
        <v>27</v>
      </c>
      <c r="Y171">
        <v>939.59999999999991</v>
      </c>
      <c r="Z171">
        <v>95.839199999999991</v>
      </c>
    </row>
    <row r="172" spans="1:26" x14ac:dyDescent="0.35">
      <c r="A172">
        <v>1193</v>
      </c>
      <c r="B172">
        <v>41826</v>
      </c>
      <c r="C172">
        <v>6</v>
      </c>
      <c r="D172" t="s">
        <v>82</v>
      </c>
      <c r="E172" t="s">
        <v>83</v>
      </c>
      <c r="F172" t="s">
        <v>84</v>
      </c>
      <c r="G172" t="s">
        <v>85</v>
      </c>
      <c r="H172">
        <v>99999</v>
      </c>
      <c r="I172" t="s">
        <v>30</v>
      </c>
      <c r="J172" t="s">
        <v>86</v>
      </c>
      <c r="K172" t="s">
        <v>61</v>
      </c>
      <c r="L172">
        <v>41828</v>
      </c>
      <c r="M172" t="s">
        <v>33</v>
      </c>
      <c r="N172" t="s">
        <v>87</v>
      </c>
      <c r="O172" t="s">
        <v>83</v>
      </c>
      <c r="P172" t="s">
        <v>84</v>
      </c>
      <c r="Q172" t="s">
        <v>85</v>
      </c>
      <c r="R172">
        <v>99999</v>
      </c>
      <c r="S172" t="s">
        <v>30</v>
      </c>
      <c r="T172" t="s">
        <v>48</v>
      </c>
      <c r="U172" t="s">
        <v>36</v>
      </c>
      <c r="V172" t="s">
        <v>37</v>
      </c>
      <c r="W172">
        <v>14</v>
      </c>
      <c r="X172">
        <v>84</v>
      </c>
      <c r="Y172">
        <v>1176</v>
      </c>
      <c r="Z172">
        <v>118.77600000000001</v>
      </c>
    </row>
    <row r="173" spans="1:26" x14ac:dyDescent="0.35">
      <c r="A173">
        <v>1194</v>
      </c>
      <c r="B173">
        <v>41828</v>
      </c>
      <c r="C173">
        <v>8</v>
      </c>
      <c r="D173" t="s">
        <v>56</v>
      </c>
      <c r="E173" t="s">
        <v>57</v>
      </c>
      <c r="F173" t="s">
        <v>58</v>
      </c>
      <c r="G173" t="s">
        <v>59</v>
      </c>
      <c r="H173">
        <v>99999</v>
      </c>
      <c r="I173" t="s">
        <v>30</v>
      </c>
      <c r="J173" t="s">
        <v>60</v>
      </c>
      <c r="K173" t="s">
        <v>61</v>
      </c>
      <c r="L173">
        <v>41830</v>
      </c>
      <c r="M173" t="s">
        <v>33</v>
      </c>
      <c r="N173" t="s">
        <v>63</v>
      </c>
      <c r="O173" t="s">
        <v>57</v>
      </c>
      <c r="P173" t="s">
        <v>58</v>
      </c>
      <c r="Q173" t="s">
        <v>59</v>
      </c>
      <c r="R173">
        <v>99999</v>
      </c>
      <c r="S173" t="s">
        <v>30</v>
      </c>
      <c r="T173" t="s">
        <v>35</v>
      </c>
      <c r="U173" t="s">
        <v>88</v>
      </c>
      <c r="V173" t="s">
        <v>89</v>
      </c>
      <c r="W173">
        <v>40</v>
      </c>
      <c r="X173">
        <v>91</v>
      </c>
      <c r="Y173">
        <v>3640</v>
      </c>
      <c r="Z173">
        <v>360.36</v>
      </c>
    </row>
    <row r="174" spans="1:26" x14ac:dyDescent="0.35">
      <c r="A174">
        <v>1195</v>
      </c>
      <c r="B174">
        <v>41828</v>
      </c>
      <c r="C174">
        <v>8</v>
      </c>
      <c r="D174" t="s">
        <v>56</v>
      </c>
      <c r="E174" t="s">
        <v>57</v>
      </c>
      <c r="F174" t="s">
        <v>58</v>
      </c>
      <c r="G174" t="s">
        <v>59</v>
      </c>
      <c r="H174">
        <v>99999</v>
      </c>
      <c r="I174" t="s">
        <v>30</v>
      </c>
      <c r="J174" t="s">
        <v>60</v>
      </c>
      <c r="K174" t="s">
        <v>61</v>
      </c>
      <c r="L174">
        <v>41830</v>
      </c>
      <c r="M174" t="s">
        <v>33</v>
      </c>
      <c r="N174" t="s">
        <v>63</v>
      </c>
      <c r="O174" t="s">
        <v>57</v>
      </c>
      <c r="P174" t="s">
        <v>58</v>
      </c>
      <c r="Q174" t="s">
        <v>59</v>
      </c>
      <c r="R174">
        <v>99999</v>
      </c>
      <c r="S174" t="s">
        <v>30</v>
      </c>
      <c r="T174" t="s">
        <v>35</v>
      </c>
      <c r="U174" t="s">
        <v>64</v>
      </c>
      <c r="V174" t="s">
        <v>65</v>
      </c>
      <c r="W174">
        <v>9.1999999999999993</v>
      </c>
      <c r="X174">
        <v>36</v>
      </c>
      <c r="Y174">
        <v>331.2</v>
      </c>
      <c r="Z174">
        <v>34.444800000000001</v>
      </c>
    </row>
    <row r="175" spans="1:26" x14ac:dyDescent="0.35">
      <c r="A175">
        <v>1196</v>
      </c>
      <c r="B175">
        <v>41845</v>
      </c>
      <c r="C175">
        <v>25</v>
      </c>
      <c r="D175" t="s">
        <v>137</v>
      </c>
      <c r="E175" t="s">
        <v>138</v>
      </c>
      <c r="F175" t="s">
        <v>99</v>
      </c>
      <c r="G175" t="s">
        <v>100</v>
      </c>
      <c r="H175">
        <v>99999</v>
      </c>
      <c r="I175" t="s">
        <v>30</v>
      </c>
      <c r="J175" t="s">
        <v>101</v>
      </c>
      <c r="K175" t="s">
        <v>45</v>
      </c>
      <c r="L175">
        <v>41847</v>
      </c>
      <c r="M175" t="s">
        <v>46</v>
      </c>
      <c r="N175" t="s">
        <v>139</v>
      </c>
      <c r="O175" t="s">
        <v>138</v>
      </c>
      <c r="P175" t="s">
        <v>99</v>
      </c>
      <c r="Q175" t="s">
        <v>100</v>
      </c>
      <c r="R175">
        <v>99999</v>
      </c>
      <c r="S175" t="s">
        <v>30</v>
      </c>
      <c r="T175" t="s">
        <v>79</v>
      </c>
      <c r="U175" t="s">
        <v>146</v>
      </c>
      <c r="V175" t="s">
        <v>65</v>
      </c>
      <c r="W175">
        <v>10</v>
      </c>
      <c r="X175">
        <v>34</v>
      </c>
      <c r="Y175">
        <v>340</v>
      </c>
      <c r="Z175">
        <v>34.340000000000003</v>
      </c>
    </row>
    <row r="176" spans="1:26" x14ac:dyDescent="0.35">
      <c r="A176">
        <v>1197</v>
      </c>
      <c r="B176">
        <v>41846</v>
      </c>
      <c r="C176">
        <v>26</v>
      </c>
      <c r="D176" t="s">
        <v>140</v>
      </c>
      <c r="E176" t="s">
        <v>141</v>
      </c>
      <c r="F176" t="s">
        <v>115</v>
      </c>
      <c r="G176" t="s">
        <v>116</v>
      </c>
      <c r="H176">
        <v>99999</v>
      </c>
      <c r="I176" t="s">
        <v>30</v>
      </c>
      <c r="J176" t="s">
        <v>94</v>
      </c>
      <c r="K176" t="s">
        <v>95</v>
      </c>
      <c r="L176">
        <v>41848</v>
      </c>
      <c r="M176" t="s">
        <v>62</v>
      </c>
      <c r="N176" t="s">
        <v>142</v>
      </c>
      <c r="O176" t="s">
        <v>141</v>
      </c>
      <c r="P176" t="s">
        <v>115</v>
      </c>
      <c r="Q176" t="s">
        <v>116</v>
      </c>
      <c r="R176">
        <v>99999</v>
      </c>
      <c r="S176" t="s">
        <v>30</v>
      </c>
      <c r="T176" t="s">
        <v>48</v>
      </c>
      <c r="U176" t="s">
        <v>147</v>
      </c>
      <c r="V176" t="s">
        <v>148</v>
      </c>
      <c r="W176">
        <v>21.35</v>
      </c>
      <c r="X176">
        <v>81</v>
      </c>
      <c r="Y176">
        <v>1729.3500000000001</v>
      </c>
      <c r="Z176">
        <v>178.12305000000003</v>
      </c>
    </row>
    <row r="177" spans="1:26" x14ac:dyDescent="0.35">
      <c r="A177">
        <v>1198</v>
      </c>
      <c r="B177">
        <v>41846</v>
      </c>
      <c r="C177">
        <v>26</v>
      </c>
      <c r="D177" t="s">
        <v>140</v>
      </c>
      <c r="E177" t="s">
        <v>141</v>
      </c>
      <c r="F177" t="s">
        <v>115</v>
      </c>
      <c r="G177" t="s">
        <v>116</v>
      </c>
      <c r="H177">
        <v>99999</v>
      </c>
      <c r="I177" t="s">
        <v>30</v>
      </c>
      <c r="J177" t="s">
        <v>94</v>
      </c>
      <c r="K177" t="s">
        <v>95</v>
      </c>
      <c r="L177">
        <v>41848</v>
      </c>
      <c r="M177" t="s">
        <v>62</v>
      </c>
      <c r="N177" t="s">
        <v>142</v>
      </c>
      <c r="O177" t="s">
        <v>141</v>
      </c>
      <c r="P177" t="s">
        <v>115</v>
      </c>
      <c r="Q177" t="s">
        <v>116</v>
      </c>
      <c r="R177">
        <v>99999</v>
      </c>
      <c r="S177" t="s">
        <v>30</v>
      </c>
      <c r="T177" t="s">
        <v>48</v>
      </c>
      <c r="U177" t="s">
        <v>80</v>
      </c>
      <c r="V177" t="s">
        <v>81</v>
      </c>
      <c r="W177">
        <v>9.65</v>
      </c>
      <c r="X177">
        <v>25</v>
      </c>
      <c r="Y177">
        <v>241.25</v>
      </c>
      <c r="Z177">
        <v>23.401250000000001</v>
      </c>
    </row>
    <row r="178" spans="1:26" x14ac:dyDescent="0.35">
      <c r="A178">
        <v>1199</v>
      </c>
      <c r="B178">
        <v>41846</v>
      </c>
      <c r="C178">
        <v>26</v>
      </c>
      <c r="D178" t="s">
        <v>140</v>
      </c>
      <c r="E178" t="s">
        <v>141</v>
      </c>
      <c r="F178" t="s">
        <v>115</v>
      </c>
      <c r="G178" t="s">
        <v>116</v>
      </c>
      <c r="H178">
        <v>99999</v>
      </c>
      <c r="I178" t="s">
        <v>30</v>
      </c>
      <c r="J178" t="s">
        <v>94</v>
      </c>
      <c r="K178" t="s">
        <v>95</v>
      </c>
      <c r="L178">
        <v>41848</v>
      </c>
      <c r="M178" t="s">
        <v>62</v>
      </c>
      <c r="N178" t="s">
        <v>142</v>
      </c>
      <c r="O178" t="s">
        <v>141</v>
      </c>
      <c r="P178" t="s">
        <v>115</v>
      </c>
      <c r="Q178" t="s">
        <v>116</v>
      </c>
      <c r="R178">
        <v>99999</v>
      </c>
      <c r="S178" t="s">
        <v>30</v>
      </c>
      <c r="T178" t="s">
        <v>48</v>
      </c>
      <c r="U178" t="s">
        <v>123</v>
      </c>
      <c r="V178" t="s">
        <v>124</v>
      </c>
      <c r="W178">
        <v>18.399999999999999</v>
      </c>
      <c r="X178">
        <v>12</v>
      </c>
      <c r="Y178">
        <v>220.79999999999998</v>
      </c>
      <c r="Z178">
        <v>22.08</v>
      </c>
    </row>
    <row r="179" spans="1:26" x14ac:dyDescent="0.35">
      <c r="A179">
        <v>1200</v>
      </c>
      <c r="B179">
        <v>41849</v>
      </c>
      <c r="C179">
        <v>29</v>
      </c>
      <c r="D179" t="s">
        <v>66</v>
      </c>
      <c r="E179" t="s">
        <v>67</v>
      </c>
      <c r="F179" t="s">
        <v>68</v>
      </c>
      <c r="G179" t="s">
        <v>69</v>
      </c>
      <c r="H179">
        <v>99999</v>
      </c>
      <c r="I179" t="s">
        <v>30</v>
      </c>
      <c r="J179" t="s">
        <v>70</v>
      </c>
      <c r="K179" t="s">
        <v>32</v>
      </c>
      <c r="L179">
        <v>41851</v>
      </c>
      <c r="M179" t="s">
        <v>33</v>
      </c>
      <c r="N179" t="s">
        <v>71</v>
      </c>
      <c r="O179" t="s">
        <v>67</v>
      </c>
      <c r="P179" t="s">
        <v>68</v>
      </c>
      <c r="Q179" t="s">
        <v>69</v>
      </c>
      <c r="R179">
        <v>99999</v>
      </c>
      <c r="S179" t="s">
        <v>30</v>
      </c>
      <c r="T179" t="s">
        <v>35</v>
      </c>
      <c r="U179" t="s">
        <v>36</v>
      </c>
      <c r="V179" t="s">
        <v>37</v>
      </c>
      <c r="W179">
        <v>14</v>
      </c>
      <c r="X179">
        <v>23</v>
      </c>
      <c r="Y179">
        <v>322</v>
      </c>
      <c r="Z179">
        <v>30.912000000000003</v>
      </c>
    </row>
    <row r="180" spans="1:26" x14ac:dyDescent="0.35">
      <c r="A180">
        <v>1201</v>
      </c>
      <c r="B180">
        <v>41826</v>
      </c>
      <c r="C180">
        <v>6</v>
      </c>
      <c r="D180" t="s">
        <v>82</v>
      </c>
      <c r="E180" t="s">
        <v>83</v>
      </c>
      <c r="F180" t="s">
        <v>84</v>
      </c>
      <c r="G180" t="s">
        <v>85</v>
      </c>
      <c r="H180">
        <v>99999</v>
      </c>
      <c r="I180" t="s">
        <v>30</v>
      </c>
      <c r="J180" t="s">
        <v>86</v>
      </c>
      <c r="K180" t="s">
        <v>61</v>
      </c>
      <c r="L180">
        <v>41828</v>
      </c>
      <c r="M180" t="s">
        <v>62</v>
      </c>
      <c r="N180" t="s">
        <v>87</v>
      </c>
      <c r="O180" t="s">
        <v>83</v>
      </c>
      <c r="P180" t="s">
        <v>84</v>
      </c>
      <c r="Q180" t="s">
        <v>85</v>
      </c>
      <c r="R180">
        <v>99999</v>
      </c>
      <c r="S180" t="s">
        <v>30</v>
      </c>
      <c r="T180" t="s">
        <v>35</v>
      </c>
      <c r="U180" t="s">
        <v>72</v>
      </c>
      <c r="V180" t="s">
        <v>73</v>
      </c>
      <c r="W180">
        <v>12.75</v>
      </c>
      <c r="X180">
        <v>76</v>
      </c>
      <c r="Y180">
        <v>969</v>
      </c>
      <c r="Z180">
        <v>97.869</v>
      </c>
    </row>
    <row r="181" spans="1:26" x14ac:dyDescent="0.35">
      <c r="A181">
        <v>1203</v>
      </c>
      <c r="B181">
        <v>41824</v>
      </c>
      <c r="C181">
        <v>4</v>
      </c>
      <c r="D181" t="s">
        <v>40</v>
      </c>
      <c r="E181" t="s">
        <v>41</v>
      </c>
      <c r="F181" t="s">
        <v>42</v>
      </c>
      <c r="G181" t="s">
        <v>43</v>
      </c>
      <c r="H181">
        <v>99999</v>
      </c>
      <c r="I181" t="s">
        <v>30</v>
      </c>
      <c r="J181" t="s">
        <v>44</v>
      </c>
      <c r="K181" t="s">
        <v>45</v>
      </c>
      <c r="L181">
        <v>41826</v>
      </c>
      <c r="M181" t="s">
        <v>46</v>
      </c>
      <c r="N181" t="s">
        <v>47</v>
      </c>
      <c r="O181" t="s">
        <v>41</v>
      </c>
      <c r="P181" t="s">
        <v>42</v>
      </c>
      <c r="Q181" t="s">
        <v>43</v>
      </c>
      <c r="R181">
        <v>99999</v>
      </c>
      <c r="S181" t="s">
        <v>30</v>
      </c>
      <c r="T181" t="s">
        <v>48</v>
      </c>
      <c r="U181" t="s">
        <v>149</v>
      </c>
      <c r="V181" t="s">
        <v>110</v>
      </c>
      <c r="W181">
        <v>81</v>
      </c>
      <c r="X181">
        <v>55</v>
      </c>
      <c r="Y181">
        <v>4455</v>
      </c>
      <c r="Z181">
        <v>445.5</v>
      </c>
    </row>
    <row r="182" spans="1:26" x14ac:dyDescent="0.35">
      <c r="A182">
        <v>1204</v>
      </c>
      <c r="B182">
        <v>41824</v>
      </c>
      <c r="C182">
        <v>4</v>
      </c>
      <c r="D182" t="s">
        <v>40</v>
      </c>
      <c r="E182" t="s">
        <v>41</v>
      </c>
      <c r="F182" t="s">
        <v>42</v>
      </c>
      <c r="G182" t="s">
        <v>43</v>
      </c>
      <c r="H182">
        <v>99999</v>
      </c>
      <c r="I182" t="s">
        <v>30</v>
      </c>
      <c r="J182" t="s">
        <v>44</v>
      </c>
      <c r="K182" t="s">
        <v>45</v>
      </c>
      <c r="L182">
        <v>41826</v>
      </c>
      <c r="M182" t="s">
        <v>46</v>
      </c>
      <c r="N182" t="s">
        <v>47</v>
      </c>
      <c r="O182" t="s">
        <v>41</v>
      </c>
      <c r="P182" t="s">
        <v>42</v>
      </c>
      <c r="Q182" t="s">
        <v>43</v>
      </c>
      <c r="R182">
        <v>99999</v>
      </c>
      <c r="S182" t="s">
        <v>30</v>
      </c>
      <c r="T182" t="s">
        <v>48</v>
      </c>
      <c r="U182" t="s">
        <v>150</v>
      </c>
      <c r="V182" t="s">
        <v>151</v>
      </c>
      <c r="W182">
        <v>7</v>
      </c>
      <c r="X182">
        <v>19</v>
      </c>
      <c r="Y182">
        <v>133</v>
      </c>
      <c r="Z182">
        <v>12.901</v>
      </c>
    </row>
    <row r="183" spans="1:26" x14ac:dyDescent="0.35">
      <c r="A183">
        <v>1206</v>
      </c>
      <c r="B183">
        <v>41828</v>
      </c>
      <c r="C183">
        <v>8</v>
      </c>
      <c r="D183" t="s">
        <v>56</v>
      </c>
      <c r="E183" t="s">
        <v>57</v>
      </c>
      <c r="F183" t="s">
        <v>58</v>
      </c>
      <c r="G183" t="s">
        <v>59</v>
      </c>
      <c r="H183">
        <v>99999</v>
      </c>
      <c r="I183" t="s">
        <v>30</v>
      </c>
      <c r="J183" t="s">
        <v>60</v>
      </c>
      <c r="K183" t="s">
        <v>61</v>
      </c>
      <c r="L183">
        <v>41830</v>
      </c>
      <c r="M183" t="s">
        <v>62</v>
      </c>
      <c r="N183" t="s">
        <v>63</v>
      </c>
      <c r="O183" t="s">
        <v>57</v>
      </c>
      <c r="P183" t="s">
        <v>58</v>
      </c>
      <c r="Q183" t="s">
        <v>59</v>
      </c>
      <c r="R183">
        <v>99999</v>
      </c>
      <c r="S183" t="s">
        <v>30</v>
      </c>
      <c r="T183" t="s">
        <v>48</v>
      </c>
      <c r="U183" t="s">
        <v>133</v>
      </c>
      <c r="V183" t="s">
        <v>134</v>
      </c>
      <c r="W183">
        <v>34.799999999999997</v>
      </c>
      <c r="X183">
        <v>27</v>
      </c>
      <c r="Y183">
        <v>939.59999999999991</v>
      </c>
      <c r="Z183">
        <v>89.261999999999986</v>
      </c>
    </row>
    <row r="184" spans="1:26" x14ac:dyDescent="0.35">
      <c r="A184">
        <v>1209</v>
      </c>
      <c r="B184">
        <v>41823</v>
      </c>
      <c r="C184">
        <v>3</v>
      </c>
      <c r="D184" t="s">
        <v>74</v>
      </c>
      <c r="E184" t="s">
        <v>75</v>
      </c>
      <c r="F184" t="s">
        <v>76</v>
      </c>
      <c r="G184" t="s">
        <v>77</v>
      </c>
      <c r="H184">
        <v>99999</v>
      </c>
      <c r="I184" t="s">
        <v>30</v>
      </c>
      <c r="J184" t="s">
        <v>31</v>
      </c>
      <c r="K184" t="s">
        <v>32</v>
      </c>
      <c r="L184">
        <v>41825</v>
      </c>
      <c r="M184" t="s">
        <v>33</v>
      </c>
      <c r="N184" t="s">
        <v>78</v>
      </c>
      <c r="O184" t="s">
        <v>75</v>
      </c>
      <c r="P184" t="s">
        <v>76</v>
      </c>
      <c r="Q184" t="s">
        <v>77</v>
      </c>
      <c r="R184">
        <v>99999</v>
      </c>
      <c r="S184" t="s">
        <v>30</v>
      </c>
      <c r="T184" t="s">
        <v>79</v>
      </c>
      <c r="U184" t="s">
        <v>135</v>
      </c>
      <c r="V184" t="s">
        <v>112</v>
      </c>
      <c r="W184">
        <v>10</v>
      </c>
      <c r="X184">
        <v>99</v>
      </c>
      <c r="Y184">
        <v>990</v>
      </c>
      <c r="Z184">
        <v>95.039999999999992</v>
      </c>
    </row>
    <row r="185" spans="1:26" x14ac:dyDescent="0.35">
      <c r="A185">
        <v>1210</v>
      </c>
      <c r="B185">
        <v>41823</v>
      </c>
      <c r="C185">
        <v>3</v>
      </c>
      <c r="D185" t="s">
        <v>74</v>
      </c>
      <c r="E185" t="s">
        <v>75</v>
      </c>
      <c r="F185" t="s">
        <v>76</v>
      </c>
      <c r="G185" t="s">
        <v>77</v>
      </c>
      <c r="H185">
        <v>99999</v>
      </c>
      <c r="I185" t="s">
        <v>30</v>
      </c>
      <c r="J185" t="s">
        <v>31</v>
      </c>
      <c r="K185" t="s">
        <v>32</v>
      </c>
      <c r="L185">
        <v>41825</v>
      </c>
      <c r="M185" t="s">
        <v>33</v>
      </c>
      <c r="N185" t="s">
        <v>78</v>
      </c>
      <c r="O185" t="s">
        <v>75</v>
      </c>
      <c r="P185" t="s">
        <v>76</v>
      </c>
      <c r="Q185" t="s">
        <v>77</v>
      </c>
      <c r="R185">
        <v>99999</v>
      </c>
      <c r="S185" t="s">
        <v>30</v>
      </c>
      <c r="T185" t="s">
        <v>79</v>
      </c>
      <c r="U185" t="s">
        <v>88</v>
      </c>
      <c r="V185" t="s">
        <v>89</v>
      </c>
      <c r="W185">
        <v>40</v>
      </c>
      <c r="X185">
        <v>10</v>
      </c>
      <c r="Y185">
        <v>400</v>
      </c>
      <c r="Z185">
        <v>40</v>
      </c>
    </row>
    <row r="186" spans="1:26" x14ac:dyDescent="0.35">
      <c r="A186">
        <v>1214</v>
      </c>
      <c r="B186">
        <v>41830</v>
      </c>
      <c r="C186">
        <v>10</v>
      </c>
      <c r="D186" t="s">
        <v>97</v>
      </c>
      <c r="E186" t="s">
        <v>98</v>
      </c>
      <c r="F186" t="s">
        <v>99</v>
      </c>
      <c r="G186" t="s">
        <v>100</v>
      </c>
      <c r="H186">
        <v>99999</v>
      </c>
      <c r="I186" t="s">
        <v>30</v>
      </c>
      <c r="J186" t="s">
        <v>101</v>
      </c>
      <c r="K186" t="s">
        <v>45</v>
      </c>
      <c r="L186">
        <v>41832</v>
      </c>
      <c r="M186" t="s">
        <v>33</v>
      </c>
      <c r="N186" t="s">
        <v>102</v>
      </c>
      <c r="O186" t="s">
        <v>98</v>
      </c>
      <c r="P186" t="s">
        <v>99</v>
      </c>
      <c r="Q186" t="s">
        <v>100</v>
      </c>
      <c r="R186">
        <v>99999</v>
      </c>
      <c r="S186" t="s">
        <v>30</v>
      </c>
      <c r="T186" t="s">
        <v>48</v>
      </c>
      <c r="U186" t="s">
        <v>136</v>
      </c>
      <c r="V186" t="s">
        <v>39</v>
      </c>
      <c r="W186">
        <v>10</v>
      </c>
      <c r="X186">
        <v>80</v>
      </c>
      <c r="Y186">
        <v>800</v>
      </c>
      <c r="Z186">
        <v>77.599999999999994</v>
      </c>
    </row>
    <row r="187" spans="1:26" x14ac:dyDescent="0.35">
      <c r="A187">
        <v>1216</v>
      </c>
      <c r="B187">
        <v>41830</v>
      </c>
      <c r="C187">
        <v>10</v>
      </c>
      <c r="D187" t="s">
        <v>97</v>
      </c>
      <c r="E187" t="s">
        <v>98</v>
      </c>
      <c r="F187" t="s">
        <v>99</v>
      </c>
      <c r="G187" t="s">
        <v>100</v>
      </c>
      <c r="H187">
        <v>99999</v>
      </c>
      <c r="I187" t="s">
        <v>30</v>
      </c>
      <c r="J187" t="s">
        <v>101</v>
      </c>
      <c r="K187" t="s">
        <v>45</v>
      </c>
      <c r="M187" t="s">
        <v>46</v>
      </c>
      <c r="N187" t="s">
        <v>102</v>
      </c>
      <c r="O187" t="s">
        <v>98</v>
      </c>
      <c r="P187" t="s">
        <v>99</v>
      </c>
      <c r="Q187" t="s">
        <v>100</v>
      </c>
      <c r="R187">
        <v>99999</v>
      </c>
      <c r="S187" t="s">
        <v>30</v>
      </c>
      <c r="U187" t="s">
        <v>38</v>
      </c>
      <c r="V187" t="s">
        <v>39</v>
      </c>
      <c r="W187">
        <v>3.5</v>
      </c>
      <c r="X187">
        <v>27</v>
      </c>
      <c r="Y187">
        <v>94.5</v>
      </c>
      <c r="Z187">
        <v>9.072000000000001</v>
      </c>
    </row>
    <row r="188" spans="1:26" x14ac:dyDescent="0.35">
      <c r="A188">
        <v>1217</v>
      </c>
      <c r="B188">
        <v>41831</v>
      </c>
      <c r="C188">
        <v>11</v>
      </c>
      <c r="D188" t="s">
        <v>113</v>
      </c>
      <c r="E188" t="s">
        <v>114</v>
      </c>
      <c r="F188" t="s">
        <v>115</v>
      </c>
      <c r="G188" t="s">
        <v>116</v>
      </c>
      <c r="H188">
        <v>99999</v>
      </c>
      <c r="I188" t="s">
        <v>30</v>
      </c>
      <c r="J188" t="s">
        <v>94</v>
      </c>
      <c r="K188" t="s">
        <v>95</v>
      </c>
      <c r="M188" t="s">
        <v>62</v>
      </c>
      <c r="N188" t="s">
        <v>117</v>
      </c>
      <c r="O188" t="s">
        <v>114</v>
      </c>
      <c r="P188" t="s">
        <v>115</v>
      </c>
      <c r="Q188" t="s">
        <v>116</v>
      </c>
      <c r="R188">
        <v>99999</v>
      </c>
      <c r="S188" t="s">
        <v>30</v>
      </c>
      <c r="U188" t="s">
        <v>88</v>
      </c>
      <c r="V188" t="s">
        <v>89</v>
      </c>
      <c r="W188">
        <v>40</v>
      </c>
      <c r="X188">
        <v>97</v>
      </c>
      <c r="Y188">
        <v>3880</v>
      </c>
      <c r="Z188">
        <v>380.24</v>
      </c>
    </row>
    <row r="189" spans="1:26" x14ac:dyDescent="0.35">
      <c r="A189">
        <v>1218</v>
      </c>
      <c r="B189">
        <v>41821</v>
      </c>
      <c r="C189">
        <v>1</v>
      </c>
      <c r="D189" t="s">
        <v>118</v>
      </c>
      <c r="E189" t="s">
        <v>119</v>
      </c>
      <c r="F189" t="s">
        <v>120</v>
      </c>
      <c r="G189" t="s">
        <v>121</v>
      </c>
      <c r="H189">
        <v>99999</v>
      </c>
      <c r="I189" t="s">
        <v>30</v>
      </c>
      <c r="J189" t="s">
        <v>60</v>
      </c>
      <c r="K189" t="s">
        <v>61</v>
      </c>
      <c r="M189" t="s">
        <v>62</v>
      </c>
      <c r="N189" t="s">
        <v>122</v>
      </c>
      <c r="O189" t="s">
        <v>119</v>
      </c>
      <c r="P189" t="s">
        <v>120</v>
      </c>
      <c r="Q189" t="s">
        <v>121</v>
      </c>
      <c r="R189">
        <v>99999</v>
      </c>
      <c r="S189" t="s">
        <v>30</v>
      </c>
      <c r="U189" t="s">
        <v>123</v>
      </c>
      <c r="V189" t="s">
        <v>124</v>
      </c>
      <c r="W189">
        <v>18.399999999999999</v>
      </c>
      <c r="X189">
        <v>42</v>
      </c>
      <c r="Y189">
        <v>772.8</v>
      </c>
      <c r="Z189">
        <v>80.371200000000002</v>
      </c>
    </row>
    <row r="190" spans="1:26" x14ac:dyDescent="0.35">
      <c r="A190">
        <v>1219</v>
      </c>
      <c r="B190">
        <v>41848</v>
      </c>
      <c r="C190">
        <v>28</v>
      </c>
      <c r="D190" t="s">
        <v>90</v>
      </c>
      <c r="E190" t="s">
        <v>91</v>
      </c>
      <c r="F190" t="s">
        <v>92</v>
      </c>
      <c r="G190" t="s">
        <v>93</v>
      </c>
      <c r="H190">
        <v>99999</v>
      </c>
      <c r="I190" t="s">
        <v>30</v>
      </c>
      <c r="J190" t="s">
        <v>94</v>
      </c>
      <c r="K190" t="s">
        <v>95</v>
      </c>
      <c r="L190">
        <v>41850</v>
      </c>
      <c r="M190" t="s">
        <v>62</v>
      </c>
      <c r="N190" t="s">
        <v>96</v>
      </c>
      <c r="O190" t="s">
        <v>91</v>
      </c>
      <c r="P190" t="s">
        <v>92</v>
      </c>
      <c r="Q190" t="s">
        <v>93</v>
      </c>
      <c r="R190">
        <v>99999</v>
      </c>
      <c r="S190" t="s">
        <v>30</v>
      </c>
      <c r="T190" t="s">
        <v>48</v>
      </c>
      <c r="U190" t="s">
        <v>55</v>
      </c>
      <c r="V190" t="s">
        <v>37</v>
      </c>
      <c r="W190">
        <v>46</v>
      </c>
      <c r="X190">
        <v>24</v>
      </c>
      <c r="Y190">
        <v>1104</v>
      </c>
      <c r="Z190">
        <v>105.98399999999999</v>
      </c>
    </row>
    <row r="191" spans="1:26" x14ac:dyDescent="0.35">
      <c r="A191">
        <v>1220</v>
      </c>
      <c r="B191">
        <v>41829</v>
      </c>
      <c r="C191">
        <v>9</v>
      </c>
      <c r="D191" t="s">
        <v>125</v>
      </c>
      <c r="E191" t="s">
        <v>126</v>
      </c>
      <c r="F191" t="s">
        <v>127</v>
      </c>
      <c r="G191" t="s">
        <v>128</v>
      </c>
      <c r="H191">
        <v>99999</v>
      </c>
      <c r="I191" t="s">
        <v>30</v>
      </c>
      <c r="J191" t="s">
        <v>129</v>
      </c>
      <c r="K191" t="s">
        <v>32</v>
      </c>
      <c r="L191">
        <v>41831</v>
      </c>
      <c r="M191" t="s">
        <v>46</v>
      </c>
      <c r="N191" t="s">
        <v>130</v>
      </c>
      <c r="O191" t="s">
        <v>126</v>
      </c>
      <c r="P191" t="s">
        <v>127</v>
      </c>
      <c r="Q191" t="s">
        <v>128</v>
      </c>
      <c r="R191">
        <v>99999</v>
      </c>
      <c r="S191" t="s">
        <v>30</v>
      </c>
      <c r="T191" t="s">
        <v>35</v>
      </c>
      <c r="U191" t="s">
        <v>80</v>
      </c>
      <c r="V191" t="s">
        <v>81</v>
      </c>
      <c r="W191">
        <v>9.65</v>
      </c>
      <c r="X191">
        <v>90</v>
      </c>
      <c r="Y191">
        <v>868.5</v>
      </c>
      <c r="Z191">
        <v>83.376000000000005</v>
      </c>
    </row>
    <row r="192" spans="1:26" x14ac:dyDescent="0.35">
      <c r="A192">
        <v>1221</v>
      </c>
      <c r="B192">
        <v>41826</v>
      </c>
      <c r="C192">
        <v>6</v>
      </c>
      <c r="D192" t="s">
        <v>82</v>
      </c>
      <c r="E192" t="s">
        <v>83</v>
      </c>
      <c r="F192" t="s">
        <v>84</v>
      </c>
      <c r="G192" t="s">
        <v>85</v>
      </c>
      <c r="H192">
        <v>99999</v>
      </c>
      <c r="I192" t="s">
        <v>30</v>
      </c>
      <c r="J192" t="s">
        <v>86</v>
      </c>
      <c r="K192" t="s">
        <v>61</v>
      </c>
      <c r="L192">
        <v>41828</v>
      </c>
      <c r="M192" t="s">
        <v>33</v>
      </c>
      <c r="N192" t="s">
        <v>87</v>
      </c>
      <c r="O192" t="s">
        <v>83</v>
      </c>
      <c r="P192" t="s">
        <v>84</v>
      </c>
      <c r="Q192" t="s">
        <v>85</v>
      </c>
      <c r="R192">
        <v>99999</v>
      </c>
      <c r="S192" t="s">
        <v>30</v>
      </c>
      <c r="T192" t="s">
        <v>48</v>
      </c>
      <c r="U192" t="s">
        <v>72</v>
      </c>
      <c r="V192" t="s">
        <v>73</v>
      </c>
      <c r="W192">
        <v>12.75</v>
      </c>
      <c r="X192">
        <v>28</v>
      </c>
      <c r="Y192">
        <v>357</v>
      </c>
      <c r="Z192">
        <v>35.700000000000003</v>
      </c>
    </row>
    <row r="193" spans="1:26" x14ac:dyDescent="0.35">
      <c r="A193">
        <v>1222</v>
      </c>
      <c r="B193">
        <v>41879</v>
      </c>
      <c r="C193">
        <v>28</v>
      </c>
      <c r="D193" t="s">
        <v>90</v>
      </c>
      <c r="E193" t="s">
        <v>91</v>
      </c>
      <c r="F193" t="s">
        <v>92</v>
      </c>
      <c r="G193" t="s">
        <v>93</v>
      </c>
      <c r="H193">
        <v>99999</v>
      </c>
      <c r="I193" t="s">
        <v>30</v>
      </c>
      <c r="J193" t="s">
        <v>94</v>
      </c>
      <c r="K193" t="s">
        <v>95</v>
      </c>
      <c r="L193">
        <v>41881</v>
      </c>
      <c r="M193" t="s">
        <v>62</v>
      </c>
      <c r="N193" t="s">
        <v>96</v>
      </c>
      <c r="O193" t="s">
        <v>91</v>
      </c>
      <c r="P193" t="s">
        <v>92</v>
      </c>
      <c r="Q193" t="s">
        <v>93</v>
      </c>
      <c r="R193">
        <v>99999</v>
      </c>
      <c r="S193" t="s">
        <v>30</v>
      </c>
      <c r="T193" t="s">
        <v>35</v>
      </c>
      <c r="U193" t="s">
        <v>55</v>
      </c>
      <c r="V193" t="s">
        <v>37</v>
      </c>
      <c r="W193">
        <v>46</v>
      </c>
      <c r="X193">
        <v>28</v>
      </c>
      <c r="Y193">
        <v>1288</v>
      </c>
      <c r="Z193">
        <v>133.95200000000003</v>
      </c>
    </row>
    <row r="194" spans="1:26" x14ac:dyDescent="0.35">
      <c r="A194">
        <v>1223</v>
      </c>
      <c r="B194">
        <v>41859</v>
      </c>
      <c r="C194">
        <v>8</v>
      </c>
      <c r="D194" t="s">
        <v>56</v>
      </c>
      <c r="E194" t="s">
        <v>57</v>
      </c>
      <c r="F194" t="s">
        <v>58</v>
      </c>
      <c r="G194" t="s">
        <v>59</v>
      </c>
      <c r="H194">
        <v>99999</v>
      </c>
      <c r="I194" t="s">
        <v>30</v>
      </c>
      <c r="J194" t="s">
        <v>60</v>
      </c>
      <c r="K194" t="s">
        <v>61</v>
      </c>
      <c r="L194">
        <v>41861</v>
      </c>
      <c r="M194" t="s">
        <v>62</v>
      </c>
      <c r="N194" t="s">
        <v>63</v>
      </c>
      <c r="O194" t="s">
        <v>57</v>
      </c>
      <c r="P194" t="s">
        <v>58</v>
      </c>
      <c r="Q194" t="s">
        <v>59</v>
      </c>
      <c r="R194">
        <v>99999</v>
      </c>
      <c r="S194" t="s">
        <v>30</v>
      </c>
      <c r="T194" t="s">
        <v>35</v>
      </c>
      <c r="U194" t="s">
        <v>72</v>
      </c>
      <c r="V194" t="s">
        <v>73</v>
      </c>
      <c r="W194">
        <v>12.75</v>
      </c>
      <c r="X194">
        <v>57</v>
      </c>
      <c r="Y194">
        <v>726.75</v>
      </c>
      <c r="Z194">
        <v>69.768000000000001</v>
      </c>
    </row>
    <row r="195" spans="1:26" x14ac:dyDescent="0.35">
      <c r="A195">
        <v>1224</v>
      </c>
      <c r="B195">
        <v>41861</v>
      </c>
      <c r="C195">
        <v>10</v>
      </c>
      <c r="D195" t="s">
        <v>97</v>
      </c>
      <c r="E195" t="s">
        <v>98</v>
      </c>
      <c r="F195" t="s">
        <v>99</v>
      </c>
      <c r="G195" t="s">
        <v>100</v>
      </c>
      <c r="H195">
        <v>99999</v>
      </c>
      <c r="I195" t="s">
        <v>30</v>
      </c>
      <c r="J195" t="s">
        <v>101</v>
      </c>
      <c r="K195" t="s">
        <v>45</v>
      </c>
      <c r="L195">
        <v>41863</v>
      </c>
      <c r="M195" t="s">
        <v>33</v>
      </c>
      <c r="N195" t="s">
        <v>102</v>
      </c>
      <c r="O195" t="s">
        <v>98</v>
      </c>
      <c r="P195" t="s">
        <v>99</v>
      </c>
      <c r="Q195" t="s">
        <v>100</v>
      </c>
      <c r="R195">
        <v>99999</v>
      </c>
      <c r="S195" t="s">
        <v>30</v>
      </c>
      <c r="T195" t="s">
        <v>48</v>
      </c>
      <c r="U195" t="s">
        <v>103</v>
      </c>
      <c r="V195" t="s">
        <v>37</v>
      </c>
      <c r="W195">
        <v>2.99</v>
      </c>
      <c r="X195">
        <v>23</v>
      </c>
      <c r="Y195">
        <v>68.77000000000001</v>
      </c>
      <c r="Z195">
        <v>6.6706900000000013</v>
      </c>
    </row>
    <row r="196" spans="1:26" x14ac:dyDescent="0.35">
      <c r="A196">
        <v>1225</v>
      </c>
      <c r="B196">
        <v>41858</v>
      </c>
      <c r="C196">
        <v>7</v>
      </c>
      <c r="D196" t="s">
        <v>104</v>
      </c>
      <c r="E196" t="s">
        <v>105</v>
      </c>
      <c r="F196" t="s">
        <v>106</v>
      </c>
      <c r="G196" t="s">
        <v>107</v>
      </c>
      <c r="H196">
        <v>99999</v>
      </c>
      <c r="I196" t="s">
        <v>30</v>
      </c>
      <c r="J196" t="s">
        <v>60</v>
      </c>
      <c r="K196" t="s">
        <v>61</v>
      </c>
      <c r="N196" t="s">
        <v>108</v>
      </c>
      <c r="O196" t="s">
        <v>105</v>
      </c>
      <c r="P196" t="s">
        <v>106</v>
      </c>
      <c r="Q196" t="s">
        <v>107</v>
      </c>
      <c r="R196">
        <v>99999</v>
      </c>
      <c r="S196" t="s">
        <v>30</v>
      </c>
      <c r="U196" t="s">
        <v>55</v>
      </c>
      <c r="V196" t="s">
        <v>37</v>
      </c>
      <c r="W196">
        <v>46</v>
      </c>
      <c r="X196">
        <v>86</v>
      </c>
      <c r="Y196">
        <v>3956</v>
      </c>
      <c r="Z196">
        <v>399.55600000000004</v>
      </c>
    </row>
    <row r="197" spans="1:26" x14ac:dyDescent="0.35">
      <c r="A197">
        <v>1226</v>
      </c>
      <c r="B197">
        <v>41861</v>
      </c>
      <c r="C197">
        <v>10</v>
      </c>
      <c r="D197" t="s">
        <v>97</v>
      </c>
      <c r="E197" t="s">
        <v>98</v>
      </c>
      <c r="F197" t="s">
        <v>99</v>
      </c>
      <c r="G197" t="s">
        <v>100</v>
      </c>
      <c r="H197">
        <v>99999</v>
      </c>
      <c r="I197" t="s">
        <v>30</v>
      </c>
      <c r="J197" t="s">
        <v>101</v>
      </c>
      <c r="K197" t="s">
        <v>45</v>
      </c>
      <c r="L197">
        <v>41863</v>
      </c>
      <c r="M197" t="s">
        <v>46</v>
      </c>
      <c r="N197" t="s">
        <v>102</v>
      </c>
      <c r="O197" t="s">
        <v>98</v>
      </c>
      <c r="P197" t="s">
        <v>99</v>
      </c>
      <c r="Q197" t="s">
        <v>100</v>
      </c>
      <c r="R197">
        <v>99999</v>
      </c>
      <c r="S197" t="s">
        <v>30</v>
      </c>
      <c r="U197" t="s">
        <v>109</v>
      </c>
      <c r="V197" t="s">
        <v>110</v>
      </c>
      <c r="W197">
        <v>25</v>
      </c>
      <c r="X197">
        <v>47</v>
      </c>
      <c r="Y197">
        <v>1175</v>
      </c>
      <c r="Z197">
        <v>116.325</v>
      </c>
    </row>
    <row r="198" spans="1:26" x14ac:dyDescent="0.35">
      <c r="A198">
        <v>1227</v>
      </c>
      <c r="B198">
        <v>41861</v>
      </c>
      <c r="C198">
        <v>10</v>
      </c>
      <c r="D198" t="s">
        <v>97</v>
      </c>
      <c r="E198" t="s">
        <v>98</v>
      </c>
      <c r="F198" t="s">
        <v>99</v>
      </c>
      <c r="G198" t="s">
        <v>100</v>
      </c>
      <c r="H198">
        <v>99999</v>
      </c>
      <c r="I198" t="s">
        <v>30</v>
      </c>
      <c r="J198" t="s">
        <v>101</v>
      </c>
      <c r="K198" t="s">
        <v>45</v>
      </c>
      <c r="L198">
        <v>41863</v>
      </c>
      <c r="M198" t="s">
        <v>46</v>
      </c>
      <c r="N198" t="s">
        <v>102</v>
      </c>
      <c r="O198" t="s">
        <v>98</v>
      </c>
      <c r="P198" t="s">
        <v>99</v>
      </c>
      <c r="Q198" t="s">
        <v>100</v>
      </c>
      <c r="R198">
        <v>99999</v>
      </c>
      <c r="S198" t="s">
        <v>30</v>
      </c>
      <c r="U198" t="s">
        <v>111</v>
      </c>
      <c r="V198" t="s">
        <v>112</v>
      </c>
      <c r="W198">
        <v>22</v>
      </c>
      <c r="X198">
        <v>97</v>
      </c>
      <c r="Y198">
        <v>2134</v>
      </c>
      <c r="Z198">
        <v>221.93600000000001</v>
      </c>
    </row>
    <row r="199" spans="1:26" x14ac:dyDescent="0.35">
      <c r="A199">
        <v>1228</v>
      </c>
      <c r="B199">
        <v>41861</v>
      </c>
      <c r="C199">
        <v>10</v>
      </c>
      <c r="D199" t="s">
        <v>97</v>
      </c>
      <c r="E199" t="s">
        <v>98</v>
      </c>
      <c r="F199" t="s">
        <v>99</v>
      </c>
      <c r="G199" t="s">
        <v>100</v>
      </c>
      <c r="H199">
        <v>99999</v>
      </c>
      <c r="I199" t="s">
        <v>30</v>
      </c>
      <c r="J199" t="s">
        <v>101</v>
      </c>
      <c r="K199" t="s">
        <v>45</v>
      </c>
      <c r="L199">
        <v>41863</v>
      </c>
      <c r="M199" t="s">
        <v>46</v>
      </c>
      <c r="N199" t="s">
        <v>102</v>
      </c>
      <c r="O199" t="s">
        <v>98</v>
      </c>
      <c r="P199" t="s">
        <v>99</v>
      </c>
      <c r="Q199" t="s">
        <v>100</v>
      </c>
      <c r="R199">
        <v>99999</v>
      </c>
      <c r="S199" t="s">
        <v>30</v>
      </c>
      <c r="U199" t="s">
        <v>64</v>
      </c>
      <c r="V199" t="s">
        <v>65</v>
      </c>
      <c r="W199">
        <v>9.1999999999999993</v>
      </c>
      <c r="X199">
        <v>96</v>
      </c>
      <c r="Y199">
        <v>883.19999999999993</v>
      </c>
      <c r="Z199">
        <v>86.553599999999989</v>
      </c>
    </row>
    <row r="200" spans="1:26" x14ac:dyDescent="0.35">
      <c r="A200">
        <v>1229</v>
      </c>
      <c r="B200">
        <v>41862</v>
      </c>
      <c r="C200">
        <v>11</v>
      </c>
      <c r="D200" t="s">
        <v>113</v>
      </c>
      <c r="E200" t="s">
        <v>114</v>
      </c>
      <c r="F200" t="s">
        <v>115</v>
      </c>
      <c r="G200" t="s">
        <v>116</v>
      </c>
      <c r="H200">
        <v>99999</v>
      </c>
      <c r="I200" t="s">
        <v>30</v>
      </c>
      <c r="J200" t="s">
        <v>94</v>
      </c>
      <c r="K200" t="s">
        <v>95</v>
      </c>
      <c r="M200" t="s">
        <v>62</v>
      </c>
      <c r="N200" t="s">
        <v>117</v>
      </c>
      <c r="O200" t="s">
        <v>114</v>
      </c>
      <c r="P200" t="s">
        <v>115</v>
      </c>
      <c r="Q200" t="s">
        <v>116</v>
      </c>
      <c r="R200">
        <v>99999</v>
      </c>
      <c r="S200" t="s">
        <v>30</v>
      </c>
      <c r="U200" t="s">
        <v>38</v>
      </c>
      <c r="V200" t="s">
        <v>39</v>
      </c>
      <c r="W200">
        <v>3.5</v>
      </c>
      <c r="X200">
        <v>31</v>
      </c>
      <c r="Y200">
        <v>108.5</v>
      </c>
      <c r="Z200">
        <v>10.850000000000001</v>
      </c>
    </row>
    <row r="201" spans="1:26" x14ac:dyDescent="0.35">
      <c r="A201">
        <v>1230</v>
      </c>
      <c r="B201">
        <v>41862</v>
      </c>
      <c r="C201">
        <v>11</v>
      </c>
      <c r="D201" t="s">
        <v>113</v>
      </c>
      <c r="E201" t="s">
        <v>114</v>
      </c>
      <c r="F201" t="s">
        <v>115</v>
      </c>
      <c r="G201" t="s">
        <v>116</v>
      </c>
      <c r="H201">
        <v>99999</v>
      </c>
      <c r="I201" t="s">
        <v>30</v>
      </c>
      <c r="J201" t="s">
        <v>94</v>
      </c>
      <c r="K201" t="s">
        <v>95</v>
      </c>
      <c r="M201" t="s">
        <v>62</v>
      </c>
      <c r="N201" t="s">
        <v>117</v>
      </c>
      <c r="O201" t="s">
        <v>114</v>
      </c>
      <c r="P201" t="s">
        <v>115</v>
      </c>
      <c r="Q201" t="s">
        <v>116</v>
      </c>
      <c r="R201">
        <v>99999</v>
      </c>
      <c r="S201" t="s">
        <v>30</v>
      </c>
      <c r="U201" t="s">
        <v>103</v>
      </c>
      <c r="V201" t="s">
        <v>37</v>
      </c>
      <c r="W201">
        <v>2.99</v>
      </c>
      <c r="X201">
        <v>52</v>
      </c>
      <c r="Y201">
        <v>155.48000000000002</v>
      </c>
      <c r="Z201">
        <v>16.014440000000004</v>
      </c>
    </row>
    <row r="202" spans="1:26" x14ac:dyDescent="0.35">
      <c r="A202">
        <v>1231</v>
      </c>
      <c r="B202">
        <v>41852</v>
      </c>
      <c r="C202">
        <v>1</v>
      </c>
      <c r="D202" t="s">
        <v>118</v>
      </c>
      <c r="E202" t="s">
        <v>119</v>
      </c>
      <c r="F202" t="s">
        <v>120</v>
      </c>
      <c r="G202" t="s">
        <v>121</v>
      </c>
      <c r="H202">
        <v>99999</v>
      </c>
      <c r="I202" t="s">
        <v>30</v>
      </c>
      <c r="J202" t="s">
        <v>60</v>
      </c>
      <c r="K202" t="s">
        <v>61</v>
      </c>
      <c r="N202" t="s">
        <v>122</v>
      </c>
      <c r="O202" t="s">
        <v>119</v>
      </c>
      <c r="P202" t="s">
        <v>120</v>
      </c>
      <c r="Q202" t="s">
        <v>121</v>
      </c>
      <c r="R202">
        <v>99999</v>
      </c>
      <c r="S202" t="s">
        <v>30</v>
      </c>
      <c r="U202" t="s">
        <v>54</v>
      </c>
      <c r="V202" t="s">
        <v>37</v>
      </c>
      <c r="W202">
        <v>18</v>
      </c>
      <c r="X202">
        <v>91</v>
      </c>
      <c r="Y202">
        <v>1638</v>
      </c>
      <c r="Z202">
        <v>158.886</v>
      </c>
    </row>
    <row r="203" spans="1:26" x14ac:dyDescent="0.35">
      <c r="A203">
        <v>1232</v>
      </c>
      <c r="B203">
        <v>41852</v>
      </c>
      <c r="C203">
        <v>1</v>
      </c>
      <c r="D203" t="s">
        <v>118</v>
      </c>
      <c r="E203" t="s">
        <v>119</v>
      </c>
      <c r="F203" t="s">
        <v>120</v>
      </c>
      <c r="G203" t="s">
        <v>121</v>
      </c>
      <c r="H203">
        <v>99999</v>
      </c>
      <c r="I203" t="s">
        <v>30</v>
      </c>
      <c r="J203" t="s">
        <v>60</v>
      </c>
      <c r="K203" t="s">
        <v>61</v>
      </c>
      <c r="N203" t="s">
        <v>122</v>
      </c>
      <c r="O203" t="s">
        <v>119</v>
      </c>
      <c r="P203" t="s">
        <v>120</v>
      </c>
      <c r="Q203" t="s">
        <v>121</v>
      </c>
      <c r="R203">
        <v>99999</v>
      </c>
      <c r="S203" t="s">
        <v>30</v>
      </c>
      <c r="U203" t="s">
        <v>55</v>
      </c>
      <c r="V203" t="s">
        <v>37</v>
      </c>
      <c r="W203">
        <v>46</v>
      </c>
      <c r="X203">
        <v>14</v>
      </c>
      <c r="Y203">
        <v>644</v>
      </c>
      <c r="Z203">
        <v>63.756000000000007</v>
      </c>
    </row>
    <row r="204" spans="1:26" x14ac:dyDescent="0.35">
      <c r="A204">
        <v>1233</v>
      </c>
      <c r="B204">
        <v>41852</v>
      </c>
      <c r="C204">
        <v>1</v>
      </c>
      <c r="D204" t="s">
        <v>118</v>
      </c>
      <c r="E204" t="s">
        <v>119</v>
      </c>
      <c r="F204" t="s">
        <v>120</v>
      </c>
      <c r="G204" t="s">
        <v>121</v>
      </c>
      <c r="H204">
        <v>99999</v>
      </c>
      <c r="I204" t="s">
        <v>30</v>
      </c>
      <c r="J204" t="s">
        <v>60</v>
      </c>
      <c r="K204" t="s">
        <v>61</v>
      </c>
      <c r="N204" t="s">
        <v>122</v>
      </c>
      <c r="O204" t="s">
        <v>119</v>
      </c>
      <c r="P204" t="s">
        <v>120</v>
      </c>
      <c r="Q204" t="s">
        <v>121</v>
      </c>
      <c r="R204">
        <v>99999</v>
      </c>
      <c r="S204" t="s">
        <v>30</v>
      </c>
      <c r="U204" t="s">
        <v>103</v>
      </c>
      <c r="V204" t="s">
        <v>37</v>
      </c>
      <c r="W204">
        <v>2.99</v>
      </c>
      <c r="X204">
        <v>44</v>
      </c>
      <c r="Y204">
        <v>131.56</v>
      </c>
      <c r="Z204">
        <v>13.287560000000001</v>
      </c>
    </row>
    <row r="205" spans="1:26" x14ac:dyDescent="0.35">
      <c r="A205">
        <v>1234</v>
      </c>
      <c r="B205">
        <v>41879</v>
      </c>
      <c r="C205">
        <v>28</v>
      </c>
      <c r="D205" t="s">
        <v>90</v>
      </c>
      <c r="E205" t="s">
        <v>91</v>
      </c>
      <c r="F205" t="s">
        <v>92</v>
      </c>
      <c r="G205" t="s">
        <v>93</v>
      </c>
      <c r="H205">
        <v>99999</v>
      </c>
      <c r="I205" t="s">
        <v>30</v>
      </c>
      <c r="J205" t="s">
        <v>94</v>
      </c>
      <c r="K205" t="s">
        <v>95</v>
      </c>
      <c r="L205">
        <v>41881</v>
      </c>
      <c r="M205" t="s">
        <v>62</v>
      </c>
      <c r="N205" t="s">
        <v>96</v>
      </c>
      <c r="O205" t="s">
        <v>91</v>
      </c>
      <c r="P205" t="s">
        <v>92</v>
      </c>
      <c r="Q205" t="s">
        <v>93</v>
      </c>
      <c r="R205">
        <v>99999</v>
      </c>
      <c r="S205" t="s">
        <v>30</v>
      </c>
      <c r="T205" t="s">
        <v>48</v>
      </c>
      <c r="U205" t="s">
        <v>80</v>
      </c>
      <c r="V205" t="s">
        <v>81</v>
      </c>
      <c r="W205">
        <v>9.65</v>
      </c>
      <c r="X205">
        <v>97</v>
      </c>
      <c r="Y205">
        <v>936.05000000000007</v>
      </c>
      <c r="Z205">
        <v>95.477100000000021</v>
      </c>
    </row>
    <row r="206" spans="1:26" x14ac:dyDescent="0.35">
      <c r="A206">
        <v>1235</v>
      </c>
      <c r="B206">
        <v>41879</v>
      </c>
      <c r="C206">
        <v>28</v>
      </c>
      <c r="D206" t="s">
        <v>90</v>
      </c>
      <c r="E206" t="s">
        <v>91</v>
      </c>
      <c r="F206" t="s">
        <v>92</v>
      </c>
      <c r="G206" t="s">
        <v>93</v>
      </c>
      <c r="H206">
        <v>99999</v>
      </c>
      <c r="I206" t="s">
        <v>30</v>
      </c>
      <c r="J206" t="s">
        <v>94</v>
      </c>
      <c r="K206" t="s">
        <v>95</v>
      </c>
      <c r="L206">
        <v>41881</v>
      </c>
      <c r="M206" t="s">
        <v>62</v>
      </c>
      <c r="N206" t="s">
        <v>96</v>
      </c>
      <c r="O206" t="s">
        <v>91</v>
      </c>
      <c r="P206" t="s">
        <v>92</v>
      </c>
      <c r="Q206" t="s">
        <v>93</v>
      </c>
      <c r="R206">
        <v>99999</v>
      </c>
      <c r="S206" t="s">
        <v>30</v>
      </c>
      <c r="T206" t="s">
        <v>48</v>
      </c>
      <c r="U206" t="s">
        <v>123</v>
      </c>
      <c r="V206" t="s">
        <v>124</v>
      </c>
      <c r="W206">
        <v>18.399999999999999</v>
      </c>
      <c r="X206">
        <v>80</v>
      </c>
      <c r="Y206">
        <v>1472</v>
      </c>
      <c r="Z206">
        <v>150.14400000000003</v>
      </c>
    </row>
    <row r="207" spans="1:26" x14ac:dyDescent="0.35">
      <c r="A207">
        <v>1236</v>
      </c>
      <c r="B207">
        <v>41860</v>
      </c>
      <c r="C207">
        <v>9</v>
      </c>
      <c r="D207" t="s">
        <v>125</v>
      </c>
      <c r="E207" t="s">
        <v>126</v>
      </c>
      <c r="F207" t="s">
        <v>127</v>
      </c>
      <c r="G207" t="s">
        <v>128</v>
      </c>
      <c r="H207">
        <v>99999</v>
      </c>
      <c r="I207" t="s">
        <v>30</v>
      </c>
      <c r="J207" t="s">
        <v>129</v>
      </c>
      <c r="K207" t="s">
        <v>32</v>
      </c>
      <c r="L207">
        <v>41862</v>
      </c>
      <c r="M207" t="s">
        <v>46</v>
      </c>
      <c r="N207" t="s">
        <v>130</v>
      </c>
      <c r="O207" t="s">
        <v>126</v>
      </c>
      <c r="P207" t="s">
        <v>127</v>
      </c>
      <c r="Q207" t="s">
        <v>128</v>
      </c>
      <c r="R207">
        <v>99999</v>
      </c>
      <c r="S207" t="s">
        <v>30</v>
      </c>
      <c r="T207" t="s">
        <v>35</v>
      </c>
      <c r="U207" t="s">
        <v>131</v>
      </c>
      <c r="V207" t="s">
        <v>132</v>
      </c>
      <c r="W207">
        <v>19.5</v>
      </c>
      <c r="X207">
        <v>66</v>
      </c>
      <c r="Y207">
        <v>1287</v>
      </c>
      <c r="Z207">
        <v>132.56100000000001</v>
      </c>
    </row>
    <row r="208" spans="1:26" x14ac:dyDescent="0.35">
      <c r="A208">
        <v>1237</v>
      </c>
      <c r="B208">
        <v>41860</v>
      </c>
      <c r="C208">
        <v>9</v>
      </c>
      <c r="D208" t="s">
        <v>125</v>
      </c>
      <c r="E208" t="s">
        <v>126</v>
      </c>
      <c r="F208" t="s">
        <v>127</v>
      </c>
      <c r="G208" t="s">
        <v>128</v>
      </c>
      <c r="H208">
        <v>99999</v>
      </c>
      <c r="I208" t="s">
        <v>30</v>
      </c>
      <c r="J208" t="s">
        <v>129</v>
      </c>
      <c r="K208" t="s">
        <v>32</v>
      </c>
      <c r="L208">
        <v>41862</v>
      </c>
      <c r="M208" t="s">
        <v>46</v>
      </c>
      <c r="N208" t="s">
        <v>130</v>
      </c>
      <c r="O208" t="s">
        <v>126</v>
      </c>
      <c r="P208" t="s">
        <v>127</v>
      </c>
      <c r="Q208" t="s">
        <v>128</v>
      </c>
      <c r="R208">
        <v>99999</v>
      </c>
      <c r="S208" t="s">
        <v>30</v>
      </c>
      <c r="T208" t="s">
        <v>35</v>
      </c>
      <c r="U208" t="s">
        <v>133</v>
      </c>
      <c r="V208" t="s">
        <v>134</v>
      </c>
      <c r="W208">
        <v>34.799999999999997</v>
      </c>
      <c r="X208">
        <v>32</v>
      </c>
      <c r="Y208">
        <v>1113.5999999999999</v>
      </c>
      <c r="Z208">
        <v>111.36</v>
      </c>
    </row>
    <row r="209" spans="1:26" x14ac:dyDescent="0.35">
      <c r="A209">
        <v>1238</v>
      </c>
      <c r="B209">
        <v>41857</v>
      </c>
      <c r="C209">
        <v>6</v>
      </c>
      <c r="D209" t="s">
        <v>82</v>
      </c>
      <c r="E209" t="s">
        <v>83</v>
      </c>
      <c r="F209" t="s">
        <v>84</v>
      </c>
      <c r="G209" t="s">
        <v>85</v>
      </c>
      <c r="H209">
        <v>99999</v>
      </c>
      <c r="I209" t="s">
        <v>30</v>
      </c>
      <c r="J209" t="s">
        <v>86</v>
      </c>
      <c r="K209" t="s">
        <v>61</v>
      </c>
      <c r="L209">
        <v>41859</v>
      </c>
      <c r="M209" t="s">
        <v>33</v>
      </c>
      <c r="N209" t="s">
        <v>87</v>
      </c>
      <c r="O209" t="s">
        <v>83</v>
      </c>
      <c r="P209" t="s">
        <v>84</v>
      </c>
      <c r="Q209" t="s">
        <v>85</v>
      </c>
      <c r="R209">
        <v>99999</v>
      </c>
      <c r="S209" t="s">
        <v>30</v>
      </c>
      <c r="T209" t="s">
        <v>48</v>
      </c>
      <c r="U209" t="s">
        <v>36</v>
      </c>
      <c r="V209" t="s">
        <v>37</v>
      </c>
      <c r="W209">
        <v>14</v>
      </c>
      <c r="X209">
        <v>52</v>
      </c>
      <c r="Y209">
        <v>728</v>
      </c>
      <c r="Z209">
        <v>72.8</v>
      </c>
    </row>
    <row r="210" spans="1:26" x14ac:dyDescent="0.35">
      <c r="A210">
        <v>1239</v>
      </c>
      <c r="B210">
        <v>41859</v>
      </c>
      <c r="C210">
        <v>8</v>
      </c>
      <c r="D210" t="s">
        <v>56</v>
      </c>
      <c r="E210" t="s">
        <v>57</v>
      </c>
      <c r="F210" t="s">
        <v>58</v>
      </c>
      <c r="G210" t="s">
        <v>59</v>
      </c>
      <c r="H210">
        <v>99999</v>
      </c>
      <c r="I210" t="s">
        <v>30</v>
      </c>
      <c r="J210" t="s">
        <v>60</v>
      </c>
      <c r="K210" t="s">
        <v>61</v>
      </c>
      <c r="L210">
        <v>41861</v>
      </c>
      <c r="M210" t="s">
        <v>33</v>
      </c>
      <c r="N210" t="s">
        <v>63</v>
      </c>
      <c r="O210" t="s">
        <v>57</v>
      </c>
      <c r="P210" t="s">
        <v>58</v>
      </c>
      <c r="Q210" t="s">
        <v>59</v>
      </c>
      <c r="R210">
        <v>99999</v>
      </c>
      <c r="S210" t="s">
        <v>30</v>
      </c>
      <c r="T210" t="s">
        <v>35</v>
      </c>
      <c r="U210" t="s">
        <v>88</v>
      </c>
      <c r="V210" t="s">
        <v>89</v>
      </c>
      <c r="W210">
        <v>40</v>
      </c>
      <c r="X210">
        <v>78</v>
      </c>
      <c r="Y210">
        <v>3120</v>
      </c>
      <c r="Z210">
        <v>318.24</v>
      </c>
    </row>
    <row r="211" spans="1:26" x14ac:dyDescent="0.35">
      <c r="A211">
        <v>1240</v>
      </c>
      <c r="B211">
        <v>41859</v>
      </c>
      <c r="C211">
        <v>8</v>
      </c>
      <c r="D211" t="s">
        <v>56</v>
      </c>
      <c r="E211" t="s">
        <v>57</v>
      </c>
      <c r="F211" t="s">
        <v>58</v>
      </c>
      <c r="G211" t="s">
        <v>59</v>
      </c>
      <c r="H211">
        <v>99999</v>
      </c>
      <c r="I211" t="s">
        <v>30</v>
      </c>
      <c r="J211" t="s">
        <v>60</v>
      </c>
      <c r="K211" t="s">
        <v>61</v>
      </c>
      <c r="L211">
        <v>41861</v>
      </c>
      <c r="M211" t="s">
        <v>33</v>
      </c>
      <c r="N211" t="s">
        <v>63</v>
      </c>
      <c r="O211" t="s">
        <v>57</v>
      </c>
      <c r="P211" t="s">
        <v>58</v>
      </c>
      <c r="Q211" t="s">
        <v>59</v>
      </c>
      <c r="R211">
        <v>99999</v>
      </c>
      <c r="S211" t="s">
        <v>30</v>
      </c>
      <c r="T211" t="s">
        <v>35</v>
      </c>
      <c r="U211" t="s">
        <v>64</v>
      </c>
      <c r="V211" t="s">
        <v>65</v>
      </c>
      <c r="W211">
        <v>9.1999999999999993</v>
      </c>
      <c r="X211">
        <v>54</v>
      </c>
      <c r="Y211">
        <v>496.79999999999995</v>
      </c>
      <c r="Z211">
        <v>49.183199999999999</v>
      </c>
    </row>
    <row r="212" spans="1:26" x14ac:dyDescent="0.35">
      <c r="A212">
        <v>1241</v>
      </c>
      <c r="B212">
        <v>41876</v>
      </c>
      <c r="C212">
        <v>25</v>
      </c>
      <c r="D212" t="s">
        <v>137</v>
      </c>
      <c r="E212" t="s">
        <v>138</v>
      </c>
      <c r="F212" t="s">
        <v>99</v>
      </c>
      <c r="G212" t="s">
        <v>100</v>
      </c>
      <c r="H212">
        <v>99999</v>
      </c>
      <c r="I212" t="s">
        <v>30</v>
      </c>
      <c r="J212" t="s">
        <v>101</v>
      </c>
      <c r="K212" t="s">
        <v>45</v>
      </c>
      <c r="L212">
        <v>41878</v>
      </c>
      <c r="M212" t="s">
        <v>46</v>
      </c>
      <c r="N212" t="s">
        <v>139</v>
      </c>
      <c r="O212" t="s">
        <v>138</v>
      </c>
      <c r="P212" t="s">
        <v>99</v>
      </c>
      <c r="Q212" t="s">
        <v>100</v>
      </c>
      <c r="R212">
        <v>99999</v>
      </c>
      <c r="S212" t="s">
        <v>30</v>
      </c>
      <c r="T212" t="s">
        <v>79</v>
      </c>
      <c r="U212" t="s">
        <v>146</v>
      </c>
      <c r="V212" t="s">
        <v>65</v>
      </c>
      <c r="W212">
        <v>10</v>
      </c>
      <c r="X212">
        <v>55</v>
      </c>
      <c r="Y212">
        <v>550</v>
      </c>
      <c r="Z212">
        <v>52.25</v>
      </c>
    </row>
    <row r="213" spans="1:26" x14ac:dyDescent="0.35">
      <c r="A213">
        <v>1242</v>
      </c>
      <c r="B213">
        <v>41877</v>
      </c>
      <c r="C213">
        <v>26</v>
      </c>
      <c r="D213" t="s">
        <v>140</v>
      </c>
      <c r="E213" t="s">
        <v>141</v>
      </c>
      <c r="F213" t="s">
        <v>115</v>
      </c>
      <c r="G213" t="s">
        <v>116</v>
      </c>
      <c r="H213">
        <v>99999</v>
      </c>
      <c r="I213" t="s">
        <v>30</v>
      </c>
      <c r="J213" t="s">
        <v>94</v>
      </c>
      <c r="K213" t="s">
        <v>95</v>
      </c>
      <c r="L213">
        <v>41879</v>
      </c>
      <c r="M213" t="s">
        <v>62</v>
      </c>
      <c r="N213" t="s">
        <v>142</v>
      </c>
      <c r="O213" t="s">
        <v>141</v>
      </c>
      <c r="P213" t="s">
        <v>115</v>
      </c>
      <c r="Q213" t="s">
        <v>116</v>
      </c>
      <c r="R213">
        <v>99999</v>
      </c>
      <c r="S213" t="s">
        <v>30</v>
      </c>
      <c r="T213" t="s">
        <v>48</v>
      </c>
      <c r="U213" t="s">
        <v>147</v>
      </c>
      <c r="V213" t="s">
        <v>148</v>
      </c>
      <c r="W213">
        <v>21.35</v>
      </c>
      <c r="X213">
        <v>60</v>
      </c>
      <c r="Y213">
        <v>1281</v>
      </c>
      <c r="Z213">
        <v>129.381</v>
      </c>
    </row>
    <row r="214" spans="1:26" x14ac:dyDescent="0.35">
      <c r="A214">
        <v>1243</v>
      </c>
      <c r="B214">
        <v>41877</v>
      </c>
      <c r="C214">
        <v>26</v>
      </c>
      <c r="D214" t="s">
        <v>140</v>
      </c>
      <c r="E214" t="s">
        <v>141</v>
      </c>
      <c r="F214" t="s">
        <v>115</v>
      </c>
      <c r="G214" t="s">
        <v>116</v>
      </c>
      <c r="H214">
        <v>99999</v>
      </c>
      <c r="I214" t="s">
        <v>30</v>
      </c>
      <c r="J214" t="s">
        <v>94</v>
      </c>
      <c r="K214" t="s">
        <v>95</v>
      </c>
      <c r="L214">
        <v>41879</v>
      </c>
      <c r="M214" t="s">
        <v>62</v>
      </c>
      <c r="N214" t="s">
        <v>142</v>
      </c>
      <c r="O214" t="s">
        <v>141</v>
      </c>
      <c r="P214" t="s">
        <v>115</v>
      </c>
      <c r="Q214" t="s">
        <v>116</v>
      </c>
      <c r="R214">
        <v>99999</v>
      </c>
      <c r="S214" t="s">
        <v>30</v>
      </c>
      <c r="T214" t="s">
        <v>48</v>
      </c>
      <c r="U214" t="s">
        <v>80</v>
      </c>
      <c r="V214" t="s">
        <v>81</v>
      </c>
      <c r="W214">
        <v>9.65</v>
      </c>
      <c r="X214">
        <v>19</v>
      </c>
      <c r="Y214">
        <v>183.35</v>
      </c>
      <c r="Z214">
        <v>17.41825</v>
      </c>
    </row>
    <row r="215" spans="1:26" x14ac:dyDescent="0.35">
      <c r="A215">
        <v>1244</v>
      </c>
      <c r="B215">
        <v>41877</v>
      </c>
      <c r="C215">
        <v>26</v>
      </c>
      <c r="D215" t="s">
        <v>140</v>
      </c>
      <c r="E215" t="s">
        <v>141</v>
      </c>
      <c r="F215" t="s">
        <v>115</v>
      </c>
      <c r="G215" t="s">
        <v>116</v>
      </c>
      <c r="H215">
        <v>99999</v>
      </c>
      <c r="I215" t="s">
        <v>30</v>
      </c>
      <c r="J215" t="s">
        <v>94</v>
      </c>
      <c r="K215" t="s">
        <v>95</v>
      </c>
      <c r="L215">
        <v>41879</v>
      </c>
      <c r="M215" t="s">
        <v>62</v>
      </c>
      <c r="N215" t="s">
        <v>142</v>
      </c>
      <c r="O215" t="s">
        <v>141</v>
      </c>
      <c r="P215" t="s">
        <v>115</v>
      </c>
      <c r="Q215" t="s">
        <v>116</v>
      </c>
      <c r="R215">
        <v>99999</v>
      </c>
      <c r="S215" t="s">
        <v>30</v>
      </c>
      <c r="T215" t="s">
        <v>48</v>
      </c>
      <c r="U215" t="s">
        <v>123</v>
      </c>
      <c r="V215" t="s">
        <v>124</v>
      </c>
      <c r="W215">
        <v>18.399999999999999</v>
      </c>
      <c r="X215">
        <v>66</v>
      </c>
      <c r="Y215">
        <v>1214.3999999999999</v>
      </c>
      <c r="Z215">
        <v>125.08320000000001</v>
      </c>
    </row>
    <row r="216" spans="1:26" x14ac:dyDescent="0.35">
      <c r="A216">
        <v>1245</v>
      </c>
      <c r="B216">
        <v>41880</v>
      </c>
      <c r="C216">
        <v>29</v>
      </c>
      <c r="D216" t="s">
        <v>66</v>
      </c>
      <c r="E216" t="s">
        <v>67</v>
      </c>
      <c r="F216" t="s">
        <v>68</v>
      </c>
      <c r="G216" t="s">
        <v>69</v>
      </c>
      <c r="H216">
        <v>99999</v>
      </c>
      <c r="I216" t="s">
        <v>30</v>
      </c>
      <c r="J216" t="s">
        <v>70</v>
      </c>
      <c r="K216" t="s">
        <v>32</v>
      </c>
      <c r="L216">
        <v>41882</v>
      </c>
      <c r="M216" t="s">
        <v>33</v>
      </c>
      <c r="N216" t="s">
        <v>71</v>
      </c>
      <c r="O216" t="s">
        <v>67</v>
      </c>
      <c r="P216" t="s">
        <v>68</v>
      </c>
      <c r="Q216" t="s">
        <v>69</v>
      </c>
      <c r="R216">
        <v>99999</v>
      </c>
      <c r="S216" t="s">
        <v>30</v>
      </c>
      <c r="T216" t="s">
        <v>35</v>
      </c>
      <c r="U216" t="s">
        <v>36</v>
      </c>
      <c r="V216" t="s">
        <v>37</v>
      </c>
      <c r="W216">
        <v>14</v>
      </c>
      <c r="X216">
        <v>42</v>
      </c>
      <c r="Y216">
        <v>588</v>
      </c>
      <c r="Z216">
        <v>59.388000000000005</v>
      </c>
    </row>
    <row r="217" spans="1:26" x14ac:dyDescent="0.35">
      <c r="A217">
        <v>1246</v>
      </c>
      <c r="B217">
        <v>41857</v>
      </c>
      <c r="C217">
        <v>6</v>
      </c>
      <c r="D217" t="s">
        <v>82</v>
      </c>
      <c r="E217" t="s">
        <v>83</v>
      </c>
      <c r="F217" t="s">
        <v>84</v>
      </c>
      <c r="G217" t="s">
        <v>85</v>
      </c>
      <c r="H217">
        <v>99999</v>
      </c>
      <c r="I217" t="s">
        <v>30</v>
      </c>
      <c r="J217" t="s">
        <v>86</v>
      </c>
      <c r="K217" t="s">
        <v>61</v>
      </c>
      <c r="L217">
        <v>41859</v>
      </c>
      <c r="M217" t="s">
        <v>62</v>
      </c>
      <c r="N217" t="s">
        <v>87</v>
      </c>
      <c r="O217" t="s">
        <v>83</v>
      </c>
      <c r="P217" t="s">
        <v>84</v>
      </c>
      <c r="Q217" t="s">
        <v>85</v>
      </c>
      <c r="R217">
        <v>99999</v>
      </c>
      <c r="S217" t="s">
        <v>30</v>
      </c>
      <c r="T217" t="s">
        <v>35</v>
      </c>
      <c r="U217" t="s">
        <v>72</v>
      </c>
      <c r="V217" t="s">
        <v>73</v>
      </c>
      <c r="W217">
        <v>12.75</v>
      </c>
      <c r="X217">
        <v>72</v>
      </c>
      <c r="Y217">
        <v>918</v>
      </c>
      <c r="Z217">
        <v>89.046000000000006</v>
      </c>
    </row>
    <row r="218" spans="1:26" x14ac:dyDescent="0.35">
      <c r="A218">
        <v>1248</v>
      </c>
      <c r="B218">
        <v>41855</v>
      </c>
      <c r="C218">
        <v>4</v>
      </c>
      <c r="D218" t="s">
        <v>40</v>
      </c>
      <c r="E218" t="s">
        <v>41</v>
      </c>
      <c r="F218" t="s">
        <v>42</v>
      </c>
      <c r="G218" t="s">
        <v>43</v>
      </c>
      <c r="H218">
        <v>99999</v>
      </c>
      <c r="I218" t="s">
        <v>30</v>
      </c>
      <c r="J218" t="s">
        <v>44</v>
      </c>
      <c r="K218" t="s">
        <v>45</v>
      </c>
      <c r="L218">
        <v>41857</v>
      </c>
      <c r="M218" t="s">
        <v>46</v>
      </c>
      <c r="N218" t="s">
        <v>47</v>
      </c>
      <c r="O218" t="s">
        <v>41</v>
      </c>
      <c r="P218" t="s">
        <v>42</v>
      </c>
      <c r="Q218" t="s">
        <v>43</v>
      </c>
      <c r="R218">
        <v>99999</v>
      </c>
      <c r="S218" t="s">
        <v>30</v>
      </c>
      <c r="T218" t="s">
        <v>48</v>
      </c>
      <c r="U218" t="s">
        <v>149</v>
      </c>
      <c r="V218" t="s">
        <v>110</v>
      </c>
      <c r="W218">
        <v>81</v>
      </c>
      <c r="X218">
        <v>32</v>
      </c>
      <c r="Y218">
        <v>2592</v>
      </c>
      <c r="Z218">
        <v>251.42399999999998</v>
      </c>
    </row>
    <row r="219" spans="1:26" x14ac:dyDescent="0.35">
      <c r="A219">
        <v>1249</v>
      </c>
      <c r="B219">
        <v>41855</v>
      </c>
      <c r="C219">
        <v>4</v>
      </c>
      <c r="D219" t="s">
        <v>40</v>
      </c>
      <c r="E219" t="s">
        <v>41</v>
      </c>
      <c r="F219" t="s">
        <v>42</v>
      </c>
      <c r="G219" t="s">
        <v>43</v>
      </c>
      <c r="H219">
        <v>99999</v>
      </c>
      <c r="I219" t="s">
        <v>30</v>
      </c>
      <c r="J219" t="s">
        <v>44</v>
      </c>
      <c r="K219" t="s">
        <v>45</v>
      </c>
      <c r="L219">
        <v>41857</v>
      </c>
      <c r="M219" t="s">
        <v>46</v>
      </c>
      <c r="N219" t="s">
        <v>47</v>
      </c>
      <c r="O219" t="s">
        <v>41</v>
      </c>
      <c r="P219" t="s">
        <v>42</v>
      </c>
      <c r="Q219" t="s">
        <v>43</v>
      </c>
      <c r="R219">
        <v>99999</v>
      </c>
      <c r="S219" t="s">
        <v>30</v>
      </c>
      <c r="T219" t="s">
        <v>48</v>
      </c>
      <c r="U219" t="s">
        <v>150</v>
      </c>
      <c r="V219" t="s">
        <v>151</v>
      </c>
      <c r="W219">
        <v>7</v>
      </c>
      <c r="X219">
        <v>76</v>
      </c>
      <c r="Y219">
        <v>532</v>
      </c>
      <c r="Z219">
        <v>53.732000000000006</v>
      </c>
    </row>
    <row r="220" spans="1:26" x14ac:dyDescent="0.35">
      <c r="A220">
        <v>1250</v>
      </c>
      <c r="B220">
        <v>41892</v>
      </c>
      <c r="C220">
        <v>10</v>
      </c>
      <c r="D220" t="s">
        <v>97</v>
      </c>
      <c r="E220" t="s">
        <v>98</v>
      </c>
      <c r="F220" t="s">
        <v>99</v>
      </c>
      <c r="G220" t="s">
        <v>100</v>
      </c>
      <c r="H220">
        <v>99999</v>
      </c>
      <c r="I220" t="s">
        <v>30</v>
      </c>
      <c r="J220" t="s">
        <v>101</v>
      </c>
      <c r="K220" t="s">
        <v>45</v>
      </c>
      <c r="L220">
        <v>41894</v>
      </c>
      <c r="M220" t="s">
        <v>46</v>
      </c>
      <c r="N220" t="s">
        <v>102</v>
      </c>
      <c r="O220" t="s">
        <v>98</v>
      </c>
      <c r="P220" t="s">
        <v>99</v>
      </c>
      <c r="Q220" t="s">
        <v>100</v>
      </c>
      <c r="R220">
        <v>99999</v>
      </c>
      <c r="S220" t="s">
        <v>30</v>
      </c>
      <c r="U220" t="s">
        <v>64</v>
      </c>
      <c r="V220" t="s">
        <v>65</v>
      </c>
      <c r="W220">
        <v>9.1999999999999993</v>
      </c>
      <c r="X220">
        <v>83</v>
      </c>
      <c r="Y220">
        <v>763.59999999999991</v>
      </c>
      <c r="Z220">
        <v>74.832799999999992</v>
      </c>
    </row>
    <row r="221" spans="1:26" x14ac:dyDescent="0.35">
      <c r="A221">
        <v>1251</v>
      </c>
      <c r="B221">
        <v>41893</v>
      </c>
      <c r="C221">
        <v>11</v>
      </c>
      <c r="D221" t="s">
        <v>113</v>
      </c>
      <c r="E221" t="s">
        <v>114</v>
      </c>
      <c r="F221" t="s">
        <v>115</v>
      </c>
      <c r="G221" t="s">
        <v>116</v>
      </c>
      <c r="H221">
        <v>99999</v>
      </c>
      <c r="I221" t="s">
        <v>30</v>
      </c>
      <c r="J221" t="s">
        <v>94</v>
      </c>
      <c r="K221" t="s">
        <v>95</v>
      </c>
      <c r="M221" t="s">
        <v>62</v>
      </c>
      <c r="N221" t="s">
        <v>117</v>
      </c>
      <c r="O221" t="s">
        <v>114</v>
      </c>
      <c r="P221" t="s">
        <v>115</v>
      </c>
      <c r="Q221" t="s">
        <v>116</v>
      </c>
      <c r="R221">
        <v>99999</v>
      </c>
      <c r="S221" t="s">
        <v>30</v>
      </c>
      <c r="U221" t="s">
        <v>38</v>
      </c>
      <c r="V221" t="s">
        <v>39</v>
      </c>
      <c r="W221">
        <v>3.5</v>
      </c>
      <c r="X221">
        <v>91</v>
      </c>
      <c r="Y221">
        <v>318.5</v>
      </c>
      <c r="Z221">
        <v>31.213000000000001</v>
      </c>
    </row>
    <row r="222" spans="1:26" x14ac:dyDescent="0.35">
      <c r="A222">
        <v>1252</v>
      </c>
      <c r="B222">
        <v>41893</v>
      </c>
      <c r="C222">
        <v>11</v>
      </c>
      <c r="D222" t="s">
        <v>113</v>
      </c>
      <c r="E222" t="s">
        <v>114</v>
      </c>
      <c r="F222" t="s">
        <v>115</v>
      </c>
      <c r="G222" t="s">
        <v>116</v>
      </c>
      <c r="H222">
        <v>99999</v>
      </c>
      <c r="I222" t="s">
        <v>30</v>
      </c>
      <c r="J222" t="s">
        <v>94</v>
      </c>
      <c r="K222" t="s">
        <v>95</v>
      </c>
      <c r="M222" t="s">
        <v>62</v>
      </c>
      <c r="N222" t="s">
        <v>117</v>
      </c>
      <c r="O222" t="s">
        <v>114</v>
      </c>
      <c r="P222" t="s">
        <v>115</v>
      </c>
      <c r="Q222" t="s">
        <v>116</v>
      </c>
      <c r="R222">
        <v>99999</v>
      </c>
      <c r="S222" t="s">
        <v>30</v>
      </c>
      <c r="U222" t="s">
        <v>103</v>
      </c>
      <c r="V222" t="s">
        <v>37</v>
      </c>
      <c r="W222">
        <v>2.99</v>
      </c>
      <c r="X222">
        <v>64</v>
      </c>
      <c r="Y222">
        <v>191.36</v>
      </c>
      <c r="Z222">
        <v>19.518720000000002</v>
      </c>
    </row>
    <row r="223" spans="1:26" x14ac:dyDescent="0.35">
      <c r="A223">
        <v>1253</v>
      </c>
      <c r="B223">
        <v>41883</v>
      </c>
      <c r="C223">
        <v>1</v>
      </c>
      <c r="D223" t="s">
        <v>118</v>
      </c>
      <c r="E223" t="s">
        <v>119</v>
      </c>
      <c r="F223" t="s">
        <v>120</v>
      </c>
      <c r="G223" t="s">
        <v>121</v>
      </c>
      <c r="H223">
        <v>99999</v>
      </c>
      <c r="I223" t="s">
        <v>30</v>
      </c>
      <c r="J223" t="s">
        <v>60</v>
      </c>
      <c r="K223" t="s">
        <v>61</v>
      </c>
      <c r="N223" t="s">
        <v>122</v>
      </c>
      <c r="O223" t="s">
        <v>119</v>
      </c>
      <c r="P223" t="s">
        <v>120</v>
      </c>
      <c r="Q223" t="s">
        <v>121</v>
      </c>
      <c r="R223">
        <v>99999</v>
      </c>
      <c r="S223" t="s">
        <v>30</v>
      </c>
      <c r="U223" t="s">
        <v>54</v>
      </c>
      <c r="V223" t="s">
        <v>37</v>
      </c>
      <c r="W223">
        <v>18</v>
      </c>
      <c r="X223">
        <v>58</v>
      </c>
      <c r="Y223">
        <v>1044</v>
      </c>
      <c r="Z223">
        <v>103.35600000000001</v>
      </c>
    </row>
    <row r="224" spans="1:26" x14ac:dyDescent="0.35">
      <c r="A224">
        <v>1254</v>
      </c>
      <c r="B224">
        <v>41883</v>
      </c>
      <c r="C224">
        <v>1</v>
      </c>
      <c r="D224" t="s">
        <v>118</v>
      </c>
      <c r="E224" t="s">
        <v>119</v>
      </c>
      <c r="F224" t="s">
        <v>120</v>
      </c>
      <c r="G224" t="s">
        <v>121</v>
      </c>
      <c r="H224">
        <v>99999</v>
      </c>
      <c r="I224" t="s">
        <v>30</v>
      </c>
      <c r="J224" t="s">
        <v>60</v>
      </c>
      <c r="K224" t="s">
        <v>61</v>
      </c>
      <c r="N224" t="s">
        <v>122</v>
      </c>
      <c r="O224" t="s">
        <v>119</v>
      </c>
      <c r="P224" t="s">
        <v>120</v>
      </c>
      <c r="Q224" t="s">
        <v>121</v>
      </c>
      <c r="R224">
        <v>99999</v>
      </c>
      <c r="S224" t="s">
        <v>30</v>
      </c>
      <c r="U224" t="s">
        <v>55</v>
      </c>
      <c r="V224" t="s">
        <v>37</v>
      </c>
      <c r="W224">
        <v>46</v>
      </c>
      <c r="X224">
        <v>97</v>
      </c>
      <c r="Y224">
        <v>4462</v>
      </c>
      <c r="Z224">
        <v>464.04800000000006</v>
      </c>
    </row>
    <row r="225" spans="1:26" x14ac:dyDescent="0.35">
      <c r="A225">
        <v>1255</v>
      </c>
      <c r="B225">
        <v>41883</v>
      </c>
      <c r="C225">
        <v>1</v>
      </c>
      <c r="D225" t="s">
        <v>118</v>
      </c>
      <c r="E225" t="s">
        <v>119</v>
      </c>
      <c r="F225" t="s">
        <v>120</v>
      </c>
      <c r="G225" t="s">
        <v>121</v>
      </c>
      <c r="H225">
        <v>99999</v>
      </c>
      <c r="I225" t="s">
        <v>30</v>
      </c>
      <c r="J225" t="s">
        <v>60</v>
      </c>
      <c r="K225" t="s">
        <v>61</v>
      </c>
      <c r="N225" t="s">
        <v>122</v>
      </c>
      <c r="O225" t="s">
        <v>119</v>
      </c>
      <c r="P225" t="s">
        <v>120</v>
      </c>
      <c r="Q225" t="s">
        <v>121</v>
      </c>
      <c r="R225">
        <v>99999</v>
      </c>
      <c r="S225" t="s">
        <v>30</v>
      </c>
      <c r="U225" t="s">
        <v>103</v>
      </c>
      <c r="V225" t="s">
        <v>37</v>
      </c>
      <c r="W225">
        <v>2.99</v>
      </c>
      <c r="X225">
        <v>14</v>
      </c>
      <c r="Y225">
        <v>41.86</v>
      </c>
      <c r="Z225">
        <v>4.35344</v>
      </c>
    </row>
    <row r="226" spans="1:26" x14ac:dyDescent="0.35">
      <c r="A226">
        <v>1256</v>
      </c>
      <c r="B226">
        <v>41910</v>
      </c>
      <c r="C226">
        <v>28</v>
      </c>
      <c r="D226" t="s">
        <v>90</v>
      </c>
      <c r="E226" t="s">
        <v>91</v>
      </c>
      <c r="F226" t="s">
        <v>92</v>
      </c>
      <c r="G226" t="s">
        <v>93</v>
      </c>
      <c r="H226">
        <v>99999</v>
      </c>
      <c r="I226" t="s">
        <v>30</v>
      </c>
      <c r="J226" t="s">
        <v>94</v>
      </c>
      <c r="K226" t="s">
        <v>95</v>
      </c>
      <c r="L226">
        <v>41912</v>
      </c>
      <c r="M226" t="s">
        <v>62</v>
      </c>
      <c r="N226" t="s">
        <v>96</v>
      </c>
      <c r="O226" t="s">
        <v>91</v>
      </c>
      <c r="P226" t="s">
        <v>92</v>
      </c>
      <c r="Q226" t="s">
        <v>93</v>
      </c>
      <c r="R226">
        <v>99999</v>
      </c>
      <c r="S226" t="s">
        <v>30</v>
      </c>
      <c r="T226" t="s">
        <v>48</v>
      </c>
      <c r="U226" t="s">
        <v>80</v>
      </c>
      <c r="V226" t="s">
        <v>81</v>
      </c>
      <c r="W226">
        <v>9.65</v>
      </c>
      <c r="X226">
        <v>68</v>
      </c>
      <c r="Y226">
        <v>656.2</v>
      </c>
      <c r="Z226">
        <v>64.307600000000008</v>
      </c>
    </row>
    <row r="227" spans="1:26" x14ac:dyDescent="0.35">
      <c r="A227">
        <v>1257</v>
      </c>
      <c r="B227">
        <v>41910</v>
      </c>
      <c r="C227">
        <v>28</v>
      </c>
      <c r="D227" t="s">
        <v>90</v>
      </c>
      <c r="E227" t="s">
        <v>91</v>
      </c>
      <c r="F227" t="s">
        <v>92</v>
      </c>
      <c r="G227" t="s">
        <v>93</v>
      </c>
      <c r="H227">
        <v>99999</v>
      </c>
      <c r="I227" t="s">
        <v>30</v>
      </c>
      <c r="J227" t="s">
        <v>94</v>
      </c>
      <c r="K227" t="s">
        <v>95</v>
      </c>
      <c r="L227">
        <v>41912</v>
      </c>
      <c r="M227" t="s">
        <v>62</v>
      </c>
      <c r="N227" t="s">
        <v>96</v>
      </c>
      <c r="O227" t="s">
        <v>91</v>
      </c>
      <c r="P227" t="s">
        <v>92</v>
      </c>
      <c r="Q227" t="s">
        <v>93</v>
      </c>
      <c r="R227">
        <v>99999</v>
      </c>
      <c r="S227" t="s">
        <v>30</v>
      </c>
      <c r="T227" t="s">
        <v>48</v>
      </c>
      <c r="U227" t="s">
        <v>123</v>
      </c>
      <c r="V227" t="s">
        <v>124</v>
      </c>
      <c r="W227">
        <v>18.399999999999999</v>
      </c>
      <c r="X227">
        <v>32</v>
      </c>
      <c r="Y227">
        <v>588.79999999999995</v>
      </c>
      <c r="Z227">
        <v>58.879999999999995</v>
      </c>
    </row>
    <row r="228" spans="1:26" x14ac:dyDescent="0.35">
      <c r="A228">
        <v>1258</v>
      </c>
      <c r="B228">
        <v>41891</v>
      </c>
      <c r="C228">
        <v>9</v>
      </c>
      <c r="D228" t="s">
        <v>125</v>
      </c>
      <c r="E228" t="s">
        <v>126</v>
      </c>
      <c r="F228" t="s">
        <v>127</v>
      </c>
      <c r="G228" t="s">
        <v>128</v>
      </c>
      <c r="H228">
        <v>99999</v>
      </c>
      <c r="I228" t="s">
        <v>30</v>
      </c>
      <c r="J228" t="s">
        <v>129</v>
      </c>
      <c r="K228" t="s">
        <v>32</v>
      </c>
      <c r="L228">
        <v>41893</v>
      </c>
      <c r="M228" t="s">
        <v>46</v>
      </c>
      <c r="N228" t="s">
        <v>130</v>
      </c>
      <c r="O228" t="s">
        <v>126</v>
      </c>
      <c r="P228" t="s">
        <v>127</v>
      </c>
      <c r="Q228" t="s">
        <v>128</v>
      </c>
      <c r="R228">
        <v>99999</v>
      </c>
      <c r="S228" t="s">
        <v>30</v>
      </c>
      <c r="T228" t="s">
        <v>35</v>
      </c>
      <c r="U228" t="s">
        <v>131</v>
      </c>
      <c r="V228" t="s">
        <v>132</v>
      </c>
      <c r="W228">
        <v>19.5</v>
      </c>
      <c r="X228">
        <v>48</v>
      </c>
      <c r="Y228">
        <v>936</v>
      </c>
      <c r="Z228">
        <v>94.536000000000016</v>
      </c>
    </row>
    <row r="229" spans="1:26" x14ac:dyDescent="0.35">
      <c r="A229">
        <v>1259</v>
      </c>
      <c r="B229">
        <v>41891</v>
      </c>
      <c r="C229">
        <v>9</v>
      </c>
      <c r="D229" t="s">
        <v>125</v>
      </c>
      <c r="E229" t="s">
        <v>126</v>
      </c>
      <c r="F229" t="s">
        <v>127</v>
      </c>
      <c r="G229" t="s">
        <v>128</v>
      </c>
      <c r="H229">
        <v>99999</v>
      </c>
      <c r="I229" t="s">
        <v>30</v>
      </c>
      <c r="J229" t="s">
        <v>129</v>
      </c>
      <c r="K229" t="s">
        <v>32</v>
      </c>
      <c r="L229">
        <v>41893</v>
      </c>
      <c r="M229" t="s">
        <v>46</v>
      </c>
      <c r="N229" t="s">
        <v>130</v>
      </c>
      <c r="O229" t="s">
        <v>126</v>
      </c>
      <c r="P229" t="s">
        <v>127</v>
      </c>
      <c r="Q229" t="s">
        <v>128</v>
      </c>
      <c r="R229">
        <v>99999</v>
      </c>
      <c r="S229" t="s">
        <v>30</v>
      </c>
      <c r="T229" t="s">
        <v>35</v>
      </c>
      <c r="U229" t="s">
        <v>133</v>
      </c>
      <c r="V229" t="s">
        <v>134</v>
      </c>
      <c r="W229">
        <v>34.799999999999997</v>
      </c>
      <c r="X229">
        <v>57</v>
      </c>
      <c r="Y229">
        <v>1983.6</v>
      </c>
      <c r="Z229">
        <v>194.39280000000002</v>
      </c>
    </row>
    <row r="230" spans="1:26" x14ac:dyDescent="0.35">
      <c r="A230">
        <v>1260</v>
      </c>
      <c r="B230">
        <v>41888</v>
      </c>
      <c r="C230">
        <v>6</v>
      </c>
      <c r="D230" t="s">
        <v>82</v>
      </c>
      <c r="E230" t="s">
        <v>83</v>
      </c>
      <c r="F230" t="s">
        <v>84</v>
      </c>
      <c r="G230" t="s">
        <v>85</v>
      </c>
      <c r="H230">
        <v>99999</v>
      </c>
      <c r="I230" t="s">
        <v>30</v>
      </c>
      <c r="J230" t="s">
        <v>86</v>
      </c>
      <c r="K230" t="s">
        <v>61</v>
      </c>
      <c r="L230">
        <v>41890</v>
      </c>
      <c r="M230" t="s">
        <v>33</v>
      </c>
      <c r="N230" t="s">
        <v>87</v>
      </c>
      <c r="O230" t="s">
        <v>83</v>
      </c>
      <c r="P230" t="s">
        <v>84</v>
      </c>
      <c r="Q230" t="s">
        <v>85</v>
      </c>
      <c r="R230">
        <v>99999</v>
      </c>
      <c r="S230" t="s">
        <v>30</v>
      </c>
      <c r="T230" t="s">
        <v>48</v>
      </c>
      <c r="U230" t="s">
        <v>36</v>
      </c>
      <c r="V230" t="s">
        <v>37</v>
      </c>
      <c r="W230">
        <v>14</v>
      </c>
      <c r="X230">
        <v>67</v>
      </c>
      <c r="Y230">
        <v>938</v>
      </c>
      <c r="Z230">
        <v>98.490000000000009</v>
      </c>
    </row>
    <row r="231" spans="1:26" x14ac:dyDescent="0.35">
      <c r="A231">
        <v>1261</v>
      </c>
      <c r="B231">
        <v>41890</v>
      </c>
      <c r="C231">
        <v>8</v>
      </c>
      <c r="D231" t="s">
        <v>56</v>
      </c>
      <c r="E231" t="s">
        <v>57</v>
      </c>
      <c r="F231" t="s">
        <v>58</v>
      </c>
      <c r="G231" t="s">
        <v>59</v>
      </c>
      <c r="H231">
        <v>99999</v>
      </c>
      <c r="I231" t="s">
        <v>30</v>
      </c>
      <c r="J231" t="s">
        <v>60</v>
      </c>
      <c r="K231" t="s">
        <v>61</v>
      </c>
      <c r="L231">
        <v>41892</v>
      </c>
      <c r="M231" t="s">
        <v>33</v>
      </c>
      <c r="N231" t="s">
        <v>63</v>
      </c>
      <c r="O231" t="s">
        <v>57</v>
      </c>
      <c r="P231" t="s">
        <v>58</v>
      </c>
      <c r="Q231" t="s">
        <v>59</v>
      </c>
      <c r="R231">
        <v>99999</v>
      </c>
      <c r="S231" t="s">
        <v>30</v>
      </c>
      <c r="T231" t="s">
        <v>35</v>
      </c>
      <c r="U231" t="s">
        <v>88</v>
      </c>
      <c r="V231" t="s">
        <v>89</v>
      </c>
      <c r="W231">
        <v>40</v>
      </c>
      <c r="X231">
        <v>48</v>
      </c>
      <c r="Y231">
        <v>1920</v>
      </c>
      <c r="Z231">
        <v>188.16</v>
      </c>
    </row>
    <row r="232" spans="1:26" x14ac:dyDescent="0.35">
      <c r="A232">
        <v>1262</v>
      </c>
      <c r="B232">
        <v>41890</v>
      </c>
      <c r="C232">
        <v>8</v>
      </c>
      <c r="D232" t="s">
        <v>56</v>
      </c>
      <c r="E232" t="s">
        <v>57</v>
      </c>
      <c r="F232" t="s">
        <v>58</v>
      </c>
      <c r="G232" t="s">
        <v>59</v>
      </c>
      <c r="H232">
        <v>99999</v>
      </c>
      <c r="I232" t="s">
        <v>30</v>
      </c>
      <c r="J232" t="s">
        <v>60</v>
      </c>
      <c r="K232" t="s">
        <v>61</v>
      </c>
      <c r="L232">
        <v>41892</v>
      </c>
      <c r="M232" t="s">
        <v>33</v>
      </c>
      <c r="N232" t="s">
        <v>63</v>
      </c>
      <c r="O232" t="s">
        <v>57</v>
      </c>
      <c r="P232" t="s">
        <v>58</v>
      </c>
      <c r="Q232" t="s">
        <v>59</v>
      </c>
      <c r="R232">
        <v>99999</v>
      </c>
      <c r="S232" t="s">
        <v>30</v>
      </c>
      <c r="T232" t="s">
        <v>35</v>
      </c>
      <c r="U232" t="s">
        <v>64</v>
      </c>
      <c r="V232" t="s">
        <v>65</v>
      </c>
      <c r="W232">
        <v>9.1999999999999993</v>
      </c>
      <c r="X232">
        <v>77</v>
      </c>
      <c r="Y232">
        <v>708.4</v>
      </c>
      <c r="Z232">
        <v>72.256799999999998</v>
      </c>
    </row>
    <row r="233" spans="1:26" x14ac:dyDescent="0.35">
      <c r="A233">
        <v>1263</v>
      </c>
      <c r="B233">
        <v>41907</v>
      </c>
      <c r="C233">
        <v>25</v>
      </c>
      <c r="D233" t="s">
        <v>137</v>
      </c>
      <c r="E233" t="s">
        <v>138</v>
      </c>
      <c r="F233" t="s">
        <v>99</v>
      </c>
      <c r="G233" t="s">
        <v>100</v>
      </c>
      <c r="H233">
        <v>99999</v>
      </c>
      <c r="I233" t="s">
        <v>30</v>
      </c>
      <c r="J233" t="s">
        <v>101</v>
      </c>
      <c r="K233" t="s">
        <v>45</v>
      </c>
      <c r="L233">
        <v>41909</v>
      </c>
      <c r="M233" t="s">
        <v>46</v>
      </c>
      <c r="N233" t="s">
        <v>139</v>
      </c>
      <c r="O233" t="s">
        <v>138</v>
      </c>
      <c r="P233" t="s">
        <v>99</v>
      </c>
      <c r="Q233" t="s">
        <v>100</v>
      </c>
      <c r="R233">
        <v>99999</v>
      </c>
      <c r="S233" t="s">
        <v>30</v>
      </c>
      <c r="T233" t="s">
        <v>79</v>
      </c>
      <c r="U233" t="s">
        <v>146</v>
      </c>
      <c r="V233" t="s">
        <v>65</v>
      </c>
      <c r="W233">
        <v>10</v>
      </c>
      <c r="X233">
        <v>94</v>
      </c>
      <c r="Y233">
        <v>940</v>
      </c>
      <c r="Z233">
        <v>97.76</v>
      </c>
    </row>
    <row r="234" spans="1:26" x14ac:dyDescent="0.35">
      <c r="A234">
        <v>1264</v>
      </c>
      <c r="B234">
        <v>41908</v>
      </c>
      <c r="C234">
        <v>26</v>
      </c>
      <c r="D234" t="s">
        <v>140</v>
      </c>
      <c r="E234" t="s">
        <v>141</v>
      </c>
      <c r="F234" t="s">
        <v>115</v>
      </c>
      <c r="G234" t="s">
        <v>116</v>
      </c>
      <c r="H234">
        <v>99999</v>
      </c>
      <c r="I234" t="s">
        <v>30</v>
      </c>
      <c r="J234" t="s">
        <v>94</v>
      </c>
      <c r="K234" t="s">
        <v>95</v>
      </c>
      <c r="L234">
        <v>41910</v>
      </c>
      <c r="M234" t="s">
        <v>62</v>
      </c>
      <c r="N234" t="s">
        <v>142</v>
      </c>
      <c r="O234" t="s">
        <v>141</v>
      </c>
      <c r="P234" t="s">
        <v>115</v>
      </c>
      <c r="Q234" t="s">
        <v>116</v>
      </c>
      <c r="R234">
        <v>99999</v>
      </c>
      <c r="S234" t="s">
        <v>30</v>
      </c>
      <c r="T234" t="s">
        <v>48</v>
      </c>
      <c r="U234" t="s">
        <v>147</v>
      </c>
      <c r="V234" t="s">
        <v>148</v>
      </c>
      <c r="W234">
        <v>21.35</v>
      </c>
      <c r="X234">
        <v>54</v>
      </c>
      <c r="Y234">
        <v>1152.9000000000001</v>
      </c>
      <c r="Z234">
        <v>121.05450000000003</v>
      </c>
    </row>
    <row r="235" spans="1:26" x14ac:dyDescent="0.35">
      <c r="A235">
        <v>1265</v>
      </c>
      <c r="B235">
        <v>41908</v>
      </c>
      <c r="C235">
        <v>26</v>
      </c>
      <c r="D235" t="s">
        <v>140</v>
      </c>
      <c r="E235" t="s">
        <v>141</v>
      </c>
      <c r="F235" t="s">
        <v>115</v>
      </c>
      <c r="G235" t="s">
        <v>116</v>
      </c>
      <c r="H235">
        <v>99999</v>
      </c>
      <c r="I235" t="s">
        <v>30</v>
      </c>
      <c r="J235" t="s">
        <v>94</v>
      </c>
      <c r="K235" t="s">
        <v>95</v>
      </c>
      <c r="L235">
        <v>41910</v>
      </c>
      <c r="M235" t="s">
        <v>62</v>
      </c>
      <c r="N235" t="s">
        <v>142</v>
      </c>
      <c r="O235" t="s">
        <v>141</v>
      </c>
      <c r="P235" t="s">
        <v>115</v>
      </c>
      <c r="Q235" t="s">
        <v>116</v>
      </c>
      <c r="R235">
        <v>99999</v>
      </c>
      <c r="S235" t="s">
        <v>30</v>
      </c>
      <c r="T235" t="s">
        <v>48</v>
      </c>
      <c r="U235" t="s">
        <v>80</v>
      </c>
      <c r="V235" t="s">
        <v>81</v>
      </c>
      <c r="W235">
        <v>9.65</v>
      </c>
      <c r="X235">
        <v>43</v>
      </c>
      <c r="Y235">
        <v>414.95</v>
      </c>
      <c r="Z235">
        <v>40.250150000000005</v>
      </c>
    </row>
    <row r="236" spans="1:26" x14ac:dyDescent="0.35">
      <c r="A236">
        <v>1266</v>
      </c>
      <c r="B236">
        <v>41908</v>
      </c>
      <c r="C236">
        <v>26</v>
      </c>
      <c r="D236" t="s">
        <v>140</v>
      </c>
      <c r="E236" t="s">
        <v>141</v>
      </c>
      <c r="F236" t="s">
        <v>115</v>
      </c>
      <c r="G236" t="s">
        <v>116</v>
      </c>
      <c r="H236">
        <v>99999</v>
      </c>
      <c r="I236" t="s">
        <v>30</v>
      </c>
      <c r="J236" t="s">
        <v>94</v>
      </c>
      <c r="K236" t="s">
        <v>95</v>
      </c>
      <c r="L236">
        <v>41910</v>
      </c>
      <c r="M236" t="s">
        <v>62</v>
      </c>
      <c r="N236" t="s">
        <v>142</v>
      </c>
      <c r="O236" t="s">
        <v>141</v>
      </c>
      <c r="P236" t="s">
        <v>115</v>
      </c>
      <c r="Q236" t="s">
        <v>116</v>
      </c>
      <c r="R236">
        <v>99999</v>
      </c>
      <c r="S236" t="s">
        <v>30</v>
      </c>
      <c r="T236" t="s">
        <v>48</v>
      </c>
      <c r="U236" t="s">
        <v>123</v>
      </c>
      <c r="V236" t="s">
        <v>124</v>
      </c>
      <c r="W236">
        <v>18.399999999999999</v>
      </c>
      <c r="X236">
        <v>71</v>
      </c>
      <c r="Y236">
        <v>1306.3999999999999</v>
      </c>
      <c r="Z236">
        <v>134.55919999999998</v>
      </c>
    </row>
    <row r="237" spans="1:26" x14ac:dyDescent="0.35">
      <c r="A237">
        <v>1267</v>
      </c>
      <c r="B237">
        <v>41911</v>
      </c>
      <c r="C237">
        <v>29</v>
      </c>
      <c r="D237" t="s">
        <v>66</v>
      </c>
      <c r="E237" t="s">
        <v>67</v>
      </c>
      <c r="F237" t="s">
        <v>68</v>
      </c>
      <c r="G237" t="s">
        <v>69</v>
      </c>
      <c r="H237">
        <v>99999</v>
      </c>
      <c r="I237" t="s">
        <v>30</v>
      </c>
      <c r="J237" t="s">
        <v>70</v>
      </c>
      <c r="K237" t="s">
        <v>32</v>
      </c>
      <c r="L237">
        <v>41913</v>
      </c>
      <c r="M237" t="s">
        <v>33</v>
      </c>
      <c r="N237" t="s">
        <v>71</v>
      </c>
      <c r="O237" t="s">
        <v>67</v>
      </c>
      <c r="P237" t="s">
        <v>68</v>
      </c>
      <c r="Q237" t="s">
        <v>69</v>
      </c>
      <c r="R237">
        <v>99999</v>
      </c>
      <c r="S237" t="s">
        <v>30</v>
      </c>
      <c r="T237" t="s">
        <v>35</v>
      </c>
      <c r="U237" t="s">
        <v>36</v>
      </c>
      <c r="V237" t="s">
        <v>37</v>
      </c>
      <c r="W237">
        <v>14</v>
      </c>
      <c r="X237">
        <v>50</v>
      </c>
      <c r="Y237">
        <v>700</v>
      </c>
      <c r="Z237">
        <v>67.2</v>
      </c>
    </row>
    <row r="238" spans="1:26" x14ac:dyDescent="0.35">
      <c r="A238">
        <v>1268</v>
      </c>
      <c r="B238">
        <v>41888</v>
      </c>
      <c r="C238">
        <v>6</v>
      </c>
      <c r="D238" t="s">
        <v>82</v>
      </c>
      <c r="E238" t="s">
        <v>83</v>
      </c>
      <c r="F238" t="s">
        <v>84</v>
      </c>
      <c r="G238" t="s">
        <v>85</v>
      </c>
      <c r="H238">
        <v>99999</v>
      </c>
      <c r="I238" t="s">
        <v>30</v>
      </c>
      <c r="J238" t="s">
        <v>86</v>
      </c>
      <c r="K238" t="s">
        <v>61</v>
      </c>
      <c r="L238">
        <v>41890</v>
      </c>
      <c r="M238" t="s">
        <v>62</v>
      </c>
      <c r="N238" t="s">
        <v>87</v>
      </c>
      <c r="O238" t="s">
        <v>83</v>
      </c>
      <c r="P238" t="s">
        <v>84</v>
      </c>
      <c r="Q238" t="s">
        <v>85</v>
      </c>
      <c r="R238">
        <v>99999</v>
      </c>
      <c r="S238" t="s">
        <v>30</v>
      </c>
      <c r="T238" t="s">
        <v>35</v>
      </c>
      <c r="U238" t="s">
        <v>72</v>
      </c>
      <c r="V238" t="s">
        <v>73</v>
      </c>
      <c r="W238">
        <v>12.75</v>
      </c>
      <c r="X238">
        <v>96</v>
      </c>
      <c r="Y238">
        <v>1224</v>
      </c>
      <c r="Z238">
        <v>119.952</v>
      </c>
    </row>
    <row r="239" spans="1:26" x14ac:dyDescent="0.35">
      <c r="A239">
        <v>1270</v>
      </c>
      <c r="B239">
        <v>41886</v>
      </c>
      <c r="C239">
        <v>4</v>
      </c>
      <c r="D239" t="s">
        <v>40</v>
      </c>
      <c r="E239" t="s">
        <v>41</v>
      </c>
      <c r="F239" t="s">
        <v>42</v>
      </c>
      <c r="G239" t="s">
        <v>43</v>
      </c>
      <c r="H239">
        <v>99999</v>
      </c>
      <c r="I239" t="s">
        <v>30</v>
      </c>
      <c r="J239" t="s">
        <v>44</v>
      </c>
      <c r="K239" t="s">
        <v>45</v>
      </c>
      <c r="L239">
        <v>41888</v>
      </c>
      <c r="M239" t="s">
        <v>46</v>
      </c>
      <c r="N239" t="s">
        <v>47</v>
      </c>
      <c r="O239" t="s">
        <v>41</v>
      </c>
      <c r="P239" t="s">
        <v>42</v>
      </c>
      <c r="Q239" t="s">
        <v>43</v>
      </c>
      <c r="R239">
        <v>99999</v>
      </c>
      <c r="S239" t="s">
        <v>30</v>
      </c>
      <c r="T239" t="s">
        <v>48</v>
      </c>
      <c r="U239" t="s">
        <v>149</v>
      </c>
      <c r="V239" t="s">
        <v>110</v>
      </c>
      <c r="W239">
        <v>81</v>
      </c>
      <c r="X239">
        <v>54</v>
      </c>
      <c r="Y239">
        <v>4374</v>
      </c>
      <c r="Z239">
        <v>437.40000000000003</v>
      </c>
    </row>
    <row r="240" spans="1:26" x14ac:dyDescent="0.35">
      <c r="A240">
        <v>1271</v>
      </c>
      <c r="B240">
        <v>41886</v>
      </c>
      <c r="C240">
        <v>4</v>
      </c>
      <c r="D240" t="s">
        <v>40</v>
      </c>
      <c r="E240" t="s">
        <v>41</v>
      </c>
      <c r="F240" t="s">
        <v>42</v>
      </c>
      <c r="G240" t="s">
        <v>43</v>
      </c>
      <c r="H240">
        <v>99999</v>
      </c>
      <c r="I240" t="s">
        <v>30</v>
      </c>
      <c r="J240" t="s">
        <v>44</v>
      </c>
      <c r="K240" t="s">
        <v>45</v>
      </c>
      <c r="L240">
        <v>41888</v>
      </c>
      <c r="M240" t="s">
        <v>46</v>
      </c>
      <c r="N240" t="s">
        <v>47</v>
      </c>
      <c r="O240" t="s">
        <v>41</v>
      </c>
      <c r="P240" t="s">
        <v>42</v>
      </c>
      <c r="Q240" t="s">
        <v>43</v>
      </c>
      <c r="R240">
        <v>99999</v>
      </c>
      <c r="S240" t="s">
        <v>30</v>
      </c>
      <c r="T240" t="s">
        <v>48</v>
      </c>
      <c r="U240" t="s">
        <v>150</v>
      </c>
      <c r="V240" t="s">
        <v>151</v>
      </c>
      <c r="W240">
        <v>7</v>
      </c>
      <c r="X240">
        <v>39</v>
      </c>
      <c r="Y240">
        <v>273</v>
      </c>
      <c r="Z240">
        <v>27.3</v>
      </c>
    </row>
    <row r="241" spans="1:26" x14ac:dyDescent="0.35">
      <c r="A241">
        <v>1273</v>
      </c>
      <c r="B241">
        <v>41890</v>
      </c>
      <c r="C241">
        <v>8</v>
      </c>
      <c r="D241" t="s">
        <v>56</v>
      </c>
      <c r="E241" t="s">
        <v>57</v>
      </c>
      <c r="F241" t="s">
        <v>58</v>
      </c>
      <c r="G241" t="s">
        <v>59</v>
      </c>
      <c r="H241">
        <v>99999</v>
      </c>
      <c r="I241" t="s">
        <v>30</v>
      </c>
      <c r="J241" t="s">
        <v>60</v>
      </c>
      <c r="K241" t="s">
        <v>61</v>
      </c>
      <c r="L241">
        <v>41892</v>
      </c>
      <c r="M241" t="s">
        <v>62</v>
      </c>
      <c r="N241" t="s">
        <v>63</v>
      </c>
      <c r="O241" t="s">
        <v>57</v>
      </c>
      <c r="P241" t="s">
        <v>58</v>
      </c>
      <c r="Q241" t="s">
        <v>59</v>
      </c>
      <c r="R241">
        <v>99999</v>
      </c>
      <c r="S241" t="s">
        <v>30</v>
      </c>
      <c r="T241" t="s">
        <v>48</v>
      </c>
      <c r="U241" t="s">
        <v>133</v>
      </c>
      <c r="V241" t="s">
        <v>134</v>
      </c>
      <c r="W241">
        <v>34.799999999999997</v>
      </c>
      <c r="X241">
        <v>63</v>
      </c>
      <c r="Y241">
        <v>2192.3999999999996</v>
      </c>
      <c r="Z241">
        <v>230.202</v>
      </c>
    </row>
    <row r="242" spans="1:26" x14ac:dyDescent="0.35">
      <c r="A242">
        <v>1276</v>
      </c>
      <c r="B242">
        <v>41885</v>
      </c>
      <c r="C242">
        <v>3</v>
      </c>
      <c r="D242" t="s">
        <v>74</v>
      </c>
      <c r="E242" t="s">
        <v>75</v>
      </c>
      <c r="F242" t="s">
        <v>76</v>
      </c>
      <c r="G242" t="s">
        <v>77</v>
      </c>
      <c r="H242">
        <v>99999</v>
      </c>
      <c r="I242" t="s">
        <v>30</v>
      </c>
      <c r="J242" t="s">
        <v>31</v>
      </c>
      <c r="K242" t="s">
        <v>32</v>
      </c>
      <c r="L242">
        <v>41887</v>
      </c>
      <c r="M242" t="s">
        <v>33</v>
      </c>
      <c r="N242" t="s">
        <v>78</v>
      </c>
      <c r="O242" t="s">
        <v>75</v>
      </c>
      <c r="P242" t="s">
        <v>76</v>
      </c>
      <c r="Q242" t="s">
        <v>77</v>
      </c>
      <c r="R242">
        <v>99999</v>
      </c>
      <c r="S242" t="s">
        <v>30</v>
      </c>
      <c r="T242" t="s">
        <v>79</v>
      </c>
      <c r="U242" t="s">
        <v>135</v>
      </c>
      <c r="V242" t="s">
        <v>112</v>
      </c>
      <c r="W242">
        <v>10</v>
      </c>
      <c r="X242">
        <v>71</v>
      </c>
      <c r="Y242">
        <v>710</v>
      </c>
      <c r="Z242">
        <v>73.13</v>
      </c>
    </row>
    <row r="243" spans="1:26" x14ac:dyDescent="0.35">
      <c r="A243">
        <v>1277</v>
      </c>
      <c r="B243">
        <v>41885</v>
      </c>
      <c r="C243">
        <v>3</v>
      </c>
      <c r="D243" t="s">
        <v>74</v>
      </c>
      <c r="E243" t="s">
        <v>75</v>
      </c>
      <c r="F243" t="s">
        <v>76</v>
      </c>
      <c r="G243" t="s">
        <v>77</v>
      </c>
      <c r="H243">
        <v>99999</v>
      </c>
      <c r="I243" t="s">
        <v>30</v>
      </c>
      <c r="J243" t="s">
        <v>31</v>
      </c>
      <c r="K243" t="s">
        <v>32</v>
      </c>
      <c r="L243">
        <v>41887</v>
      </c>
      <c r="M243" t="s">
        <v>33</v>
      </c>
      <c r="N243" t="s">
        <v>78</v>
      </c>
      <c r="O243" t="s">
        <v>75</v>
      </c>
      <c r="P243" t="s">
        <v>76</v>
      </c>
      <c r="Q243" t="s">
        <v>77</v>
      </c>
      <c r="R243">
        <v>99999</v>
      </c>
      <c r="S243" t="s">
        <v>30</v>
      </c>
      <c r="T243" t="s">
        <v>79</v>
      </c>
      <c r="U243" t="s">
        <v>88</v>
      </c>
      <c r="V243" t="s">
        <v>89</v>
      </c>
      <c r="W243">
        <v>40</v>
      </c>
      <c r="X243">
        <v>88</v>
      </c>
      <c r="Y243">
        <v>3520</v>
      </c>
      <c r="Z243">
        <v>366.08000000000004</v>
      </c>
    </row>
    <row r="244" spans="1:26" x14ac:dyDescent="0.35">
      <c r="A244">
        <v>1281</v>
      </c>
      <c r="B244">
        <v>41892</v>
      </c>
      <c r="C244">
        <v>10</v>
      </c>
      <c r="D244" t="s">
        <v>97</v>
      </c>
      <c r="E244" t="s">
        <v>98</v>
      </c>
      <c r="F244" t="s">
        <v>99</v>
      </c>
      <c r="G244" t="s">
        <v>100</v>
      </c>
      <c r="H244">
        <v>99999</v>
      </c>
      <c r="I244" t="s">
        <v>30</v>
      </c>
      <c r="J244" t="s">
        <v>101</v>
      </c>
      <c r="K244" t="s">
        <v>45</v>
      </c>
      <c r="L244">
        <v>41894</v>
      </c>
      <c r="M244" t="s">
        <v>33</v>
      </c>
      <c r="N244" t="s">
        <v>102</v>
      </c>
      <c r="O244" t="s">
        <v>98</v>
      </c>
      <c r="P244" t="s">
        <v>99</v>
      </c>
      <c r="Q244" t="s">
        <v>100</v>
      </c>
      <c r="R244">
        <v>99999</v>
      </c>
      <c r="S244" t="s">
        <v>30</v>
      </c>
      <c r="T244" t="s">
        <v>48</v>
      </c>
      <c r="U244" t="s">
        <v>136</v>
      </c>
      <c r="V244" t="s">
        <v>39</v>
      </c>
      <c r="W244">
        <v>10</v>
      </c>
      <c r="X244">
        <v>59</v>
      </c>
      <c r="Y244">
        <v>590</v>
      </c>
      <c r="Z244">
        <v>59.59</v>
      </c>
    </row>
    <row r="245" spans="1:26" x14ac:dyDescent="0.35">
      <c r="A245">
        <v>1282</v>
      </c>
      <c r="B245">
        <v>41918</v>
      </c>
      <c r="C245">
        <v>6</v>
      </c>
      <c r="D245" t="s">
        <v>82</v>
      </c>
      <c r="E245" t="s">
        <v>83</v>
      </c>
      <c r="F245" t="s">
        <v>84</v>
      </c>
      <c r="G245" t="s">
        <v>85</v>
      </c>
      <c r="H245">
        <v>99999</v>
      </c>
      <c r="I245" t="s">
        <v>30</v>
      </c>
      <c r="J245" t="s">
        <v>86</v>
      </c>
      <c r="K245" t="s">
        <v>61</v>
      </c>
      <c r="L245">
        <v>41920</v>
      </c>
      <c r="M245" t="s">
        <v>33</v>
      </c>
      <c r="N245" t="s">
        <v>87</v>
      </c>
      <c r="O245" t="s">
        <v>83</v>
      </c>
      <c r="P245" t="s">
        <v>84</v>
      </c>
      <c r="Q245" t="s">
        <v>85</v>
      </c>
      <c r="R245">
        <v>99999</v>
      </c>
      <c r="S245" t="s">
        <v>30</v>
      </c>
      <c r="T245" t="s">
        <v>48</v>
      </c>
      <c r="U245" t="s">
        <v>88</v>
      </c>
      <c r="V245" t="s">
        <v>89</v>
      </c>
      <c r="W245">
        <v>40</v>
      </c>
      <c r="X245">
        <v>94</v>
      </c>
      <c r="Y245">
        <v>3760</v>
      </c>
      <c r="Z245">
        <v>376</v>
      </c>
    </row>
    <row r="246" spans="1:26" x14ac:dyDescent="0.35">
      <c r="A246">
        <v>1283</v>
      </c>
      <c r="B246">
        <v>41940</v>
      </c>
      <c r="C246">
        <v>28</v>
      </c>
      <c r="D246" t="s">
        <v>90</v>
      </c>
      <c r="E246" t="s">
        <v>91</v>
      </c>
      <c r="F246" t="s">
        <v>92</v>
      </c>
      <c r="G246" t="s">
        <v>93</v>
      </c>
      <c r="H246">
        <v>99999</v>
      </c>
      <c r="I246" t="s">
        <v>30</v>
      </c>
      <c r="J246" t="s">
        <v>94</v>
      </c>
      <c r="K246" t="s">
        <v>95</v>
      </c>
      <c r="L246">
        <v>41942</v>
      </c>
      <c r="M246" t="s">
        <v>62</v>
      </c>
      <c r="N246" t="s">
        <v>96</v>
      </c>
      <c r="O246" t="s">
        <v>91</v>
      </c>
      <c r="P246" t="s">
        <v>92</v>
      </c>
      <c r="Q246" t="s">
        <v>93</v>
      </c>
      <c r="R246">
        <v>99999</v>
      </c>
      <c r="S246" t="s">
        <v>30</v>
      </c>
      <c r="T246" t="s">
        <v>35</v>
      </c>
      <c r="U246" t="s">
        <v>55</v>
      </c>
      <c r="V246" t="s">
        <v>37</v>
      </c>
      <c r="W246">
        <v>46</v>
      </c>
      <c r="X246">
        <v>86</v>
      </c>
      <c r="Y246">
        <v>3956</v>
      </c>
      <c r="Z246">
        <v>379.77600000000001</v>
      </c>
    </row>
    <row r="247" spans="1:26" x14ac:dyDescent="0.35">
      <c r="A247">
        <v>1284</v>
      </c>
      <c r="B247">
        <v>41920</v>
      </c>
      <c r="C247">
        <v>8</v>
      </c>
      <c r="D247" t="s">
        <v>56</v>
      </c>
      <c r="E247" t="s">
        <v>57</v>
      </c>
      <c r="F247" t="s">
        <v>58</v>
      </c>
      <c r="G247" t="s">
        <v>59</v>
      </c>
      <c r="H247">
        <v>99999</v>
      </c>
      <c r="I247" t="s">
        <v>30</v>
      </c>
      <c r="J247" t="s">
        <v>60</v>
      </c>
      <c r="K247" t="s">
        <v>61</v>
      </c>
      <c r="L247">
        <v>41922</v>
      </c>
      <c r="M247" t="s">
        <v>62</v>
      </c>
      <c r="N247" t="s">
        <v>63</v>
      </c>
      <c r="O247" t="s">
        <v>57</v>
      </c>
      <c r="P247" t="s">
        <v>58</v>
      </c>
      <c r="Q247" t="s">
        <v>59</v>
      </c>
      <c r="R247">
        <v>99999</v>
      </c>
      <c r="S247" t="s">
        <v>30</v>
      </c>
      <c r="T247" t="s">
        <v>35</v>
      </c>
      <c r="U247" t="s">
        <v>72</v>
      </c>
      <c r="V247" t="s">
        <v>73</v>
      </c>
      <c r="W247">
        <v>12.75</v>
      </c>
      <c r="X247">
        <v>61</v>
      </c>
      <c r="Y247">
        <v>777.75</v>
      </c>
      <c r="Z247">
        <v>78.552750000000003</v>
      </c>
    </row>
    <row r="248" spans="1:26" x14ac:dyDescent="0.35">
      <c r="A248">
        <v>1285</v>
      </c>
      <c r="B248">
        <v>41922</v>
      </c>
      <c r="C248">
        <v>10</v>
      </c>
      <c r="D248" t="s">
        <v>97</v>
      </c>
      <c r="E248" t="s">
        <v>98</v>
      </c>
      <c r="F248" t="s">
        <v>99</v>
      </c>
      <c r="G248" t="s">
        <v>100</v>
      </c>
      <c r="H248">
        <v>99999</v>
      </c>
      <c r="I248" t="s">
        <v>30</v>
      </c>
      <c r="J248" t="s">
        <v>101</v>
      </c>
      <c r="K248" t="s">
        <v>45</v>
      </c>
      <c r="L248">
        <v>41924</v>
      </c>
      <c r="M248" t="s">
        <v>33</v>
      </c>
      <c r="N248" t="s">
        <v>102</v>
      </c>
      <c r="O248" t="s">
        <v>98</v>
      </c>
      <c r="P248" t="s">
        <v>99</v>
      </c>
      <c r="Q248" t="s">
        <v>100</v>
      </c>
      <c r="R248">
        <v>99999</v>
      </c>
      <c r="S248" t="s">
        <v>30</v>
      </c>
      <c r="T248" t="s">
        <v>48</v>
      </c>
      <c r="U248" t="s">
        <v>103</v>
      </c>
      <c r="V248" t="s">
        <v>37</v>
      </c>
      <c r="W248">
        <v>2.99</v>
      </c>
      <c r="X248">
        <v>32</v>
      </c>
      <c r="Y248">
        <v>95.68</v>
      </c>
      <c r="Z248">
        <v>9.7593600000000009</v>
      </c>
    </row>
    <row r="249" spans="1:26" x14ac:dyDescent="0.35">
      <c r="A249">
        <v>1286</v>
      </c>
      <c r="B249">
        <v>41919</v>
      </c>
      <c r="C249">
        <v>7</v>
      </c>
      <c r="D249" t="s">
        <v>104</v>
      </c>
      <c r="E249" t="s">
        <v>105</v>
      </c>
      <c r="F249" t="s">
        <v>106</v>
      </c>
      <c r="G249" t="s">
        <v>107</v>
      </c>
      <c r="H249">
        <v>99999</v>
      </c>
      <c r="I249" t="s">
        <v>30</v>
      </c>
      <c r="J249" t="s">
        <v>60</v>
      </c>
      <c r="K249" t="s">
        <v>61</v>
      </c>
      <c r="N249" t="s">
        <v>108</v>
      </c>
      <c r="O249" t="s">
        <v>105</v>
      </c>
      <c r="P249" t="s">
        <v>106</v>
      </c>
      <c r="Q249" t="s">
        <v>107</v>
      </c>
      <c r="R249">
        <v>99999</v>
      </c>
      <c r="S249" t="s">
        <v>30</v>
      </c>
      <c r="U249" t="s">
        <v>55</v>
      </c>
      <c r="V249" t="s">
        <v>37</v>
      </c>
      <c r="W249">
        <v>46</v>
      </c>
      <c r="X249">
        <v>62</v>
      </c>
      <c r="Y249">
        <v>2852</v>
      </c>
      <c r="Z249">
        <v>290.904</v>
      </c>
    </row>
    <row r="250" spans="1:26" x14ac:dyDescent="0.35">
      <c r="A250">
        <v>1287</v>
      </c>
      <c r="B250">
        <v>41922</v>
      </c>
      <c r="C250">
        <v>10</v>
      </c>
      <c r="D250" t="s">
        <v>97</v>
      </c>
      <c r="E250" t="s">
        <v>98</v>
      </c>
      <c r="F250" t="s">
        <v>99</v>
      </c>
      <c r="G250" t="s">
        <v>100</v>
      </c>
      <c r="H250">
        <v>99999</v>
      </c>
      <c r="I250" t="s">
        <v>30</v>
      </c>
      <c r="J250" t="s">
        <v>101</v>
      </c>
      <c r="K250" t="s">
        <v>45</v>
      </c>
      <c r="L250">
        <v>41924</v>
      </c>
      <c r="M250" t="s">
        <v>46</v>
      </c>
      <c r="N250" t="s">
        <v>102</v>
      </c>
      <c r="O250" t="s">
        <v>98</v>
      </c>
      <c r="P250" t="s">
        <v>99</v>
      </c>
      <c r="Q250" t="s">
        <v>100</v>
      </c>
      <c r="R250">
        <v>99999</v>
      </c>
      <c r="S250" t="s">
        <v>30</v>
      </c>
      <c r="U250" t="s">
        <v>109</v>
      </c>
      <c r="V250" t="s">
        <v>110</v>
      </c>
      <c r="W250">
        <v>25</v>
      </c>
      <c r="X250">
        <v>60</v>
      </c>
      <c r="Y250">
        <v>1500</v>
      </c>
      <c r="Z250">
        <v>154.5</v>
      </c>
    </row>
    <row r="251" spans="1:26" x14ac:dyDescent="0.35">
      <c r="A251">
        <v>1288</v>
      </c>
      <c r="B251">
        <v>41922</v>
      </c>
      <c r="C251">
        <v>10</v>
      </c>
      <c r="D251" t="s">
        <v>97</v>
      </c>
      <c r="E251" t="s">
        <v>98</v>
      </c>
      <c r="F251" t="s">
        <v>99</v>
      </c>
      <c r="G251" t="s">
        <v>100</v>
      </c>
      <c r="H251">
        <v>99999</v>
      </c>
      <c r="I251" t="s">
        <v>30</v>
      </c>
      <c r="J251" t="s">
        <v>101</v>
      </c>
      <c r="K251" t="s">
        <v>45</v>
      </c>
      <c r="L251">
        <v>41924</v>
      </c>
      <c r="M251" t="s">
        <v>46</v>
      </c>
      <c r="N251" t="s">
        <v>102</v>
      </c>
      <c r="O251" t="s">
        <v>98</v>
      </c>
      <c r="P251" t="s">
        <v>99</v>
      </c>
      <c r="Q251" t="s">
        <v>100</v>
      </c>
      <c r="R251">
        <v>99999</v>
      </c>
      <c r="S251" t="s">
        <v>30</v>
      </c>
      <c r="U251" t="s">
        <v>111</v>
      </c>
      <c r="V251" t="s">
        <v>112</v>
      </c>
      <c r="W251">
        <v>22</v>
      </c>
      <c r="X251">
        <v>51</v>
      </c>
      <c r="Y251">
        <v>1122</v>
      </c>
      <c r="Z251">
        <v>109.956</v>
      </c>
    </row>
    <row r="252" spans="1:26" x14ac:dyDescent="0.35">
      <c r="A252">
        <v>1289</v>
      </c>
      <c r="B252">
        <v>41922</v>
      </c>
      <c r="C252">
        <v>10</v>
      </c>
      <c r="D252" t="s">
        <v>97</v>
      </c>
      <c r="E252" t="s">
        <v>98</v>
      </c>
      <c r="F252" t="s">
        <v>99</v>
      </c>
      <c r="G252" t="s">
        <v>100</v>
      </c>
      <c r="H252">
        <v>99999</v>
      </c>
      <c r="I252" t="s">
        <v>30</v>
      </c>
      <c r="J252" t="s">
        <v>101</v>
      </c>
      <c r="K252" t="s">
        <v>45</v>
      </c>
      <c r="L252">
        <v>41924</v>
      </c>
      <c r="M252" t="s">
        <v>46</v>
      </c>
      <c r="N252" t="s">
        <v>102</v>
      </c>
      <c r="O252" t="s">
        <v>98</v>
      </c>
      <c r="P252" t="s">
        <v>99</v>
      </c>
      <c r="Q252" t="s">
        <v>100</v>
      </c>
      <c r="R252">
        <v>99999</v>
      </c>
      <c r="S252" t="s">
        <v>30</v>
      </c>
      <c r="U252" t="s">
        <v>64</v>
      </c>
      <c r="V252" t="s">
        <v>65</v>
      </c>
      <c r="W252">
        <v>9.1999999999999993</v>
      </c>
      <c r="X252">
        <v>49</v>
      </c>
      <c r="Y252">
        <v>450.79999999999995</v>
      </c>
      <c r="Z252">
        <v>44.629199999999997</v>
      </c>
    </row>
    <row r="253" spans="1:26" x14ac:dyDescent="0.35">
      <c r="A253">
        <v>1290</v>
      </c>
      <c r="B253">
        <v>41923</v>
      </c>
      <c r="C253">
        <v>11</v>
      </c>
      <c r="D253" t="s">
        <v>113</v>
      </c>
      <c r="E253" t="s">
        <v>114</v>
      </c>
      <c r="F253" t="s">
        <v>115</v>
      </c>
      <c r="G253" t="s">
        <v>116</v>
      </c>
      <c r="H253">
        <v>99999</v>
      </c>
      <c r="I253" t="s">
        <v>30</v>
      </c>
      <c r="J253" t="s">
        <v>94</v>
      </c>
      <c r="K253" t="s">
        <v>95</v>
      </c>
      <c r="M253" t="s">
        <v>62</v>
      </c>
      <c r="N253" t="s">
        <v>117</v>
      </c>
      <c r="O253" t="s">
        <v>114</v>
      </c>
      <c r="P253" t="s">
        <v>115</v>
      </c>
      <c r="Q253" t="s">
        <v>116</v>
      </c>
      <c r="R253">
        <v>99999</v>
      </c>
      <c r="S253" t="s">
        <v>30</v>
      </c>
      <c r="U253" t="s">
        <v>38</v>
      </c>
      <c r="V253" t="s">
        <v>39</v>
      </c>
      <c r="W253">
        <v>3.5</v>
      </c>
      <c r="X253">
        <v>20</v>
      </c>
      <c r="Y253">
        <v>70</v>
      </c>
      <c r="Z253">
        <v>6.93</v>
      </c>
    </row>
    <row r="254" spans="1:26" x14ac:dyDescent="0.35">
      <c r="A254">
        <v>1291</v>
      </c>
      <c r="B254">
        <v>41923</v>
      </c>
      <c r="C254">
        <v>11</v>
      </c>
      <c r="D254" t="s">
        <v>113</v>
      </c>
      <c r="E254" t="s">
        <v>114</v>
      </c>
      <c r="F254" t="s">
        <v>115</v>
      </c>
      <c r="G254" t="s">
        <v>116</v>
      </c>
      <c r="H254">
        <v>99999</v>
      </c>
      <c r="I254" t="s">
        <v>30</v>
      </c>
      <c r="J254" t="s">
        <v>94</v>
      </c>
      <c r="K254" t="s">
        <v>95</v>
      </c>
      <c r="M254" t="s">
        <v>62</v>
      </c>
      <c r="N254" t="s">
        <v>117</v>
      </c>
      <c r="O254" t="s">
        <v>114</v>
      </c>
      <c r="P254" t="s">
        <v>115</v>
      </c>
      <c r="Q254" t="s">
        <v>116</v>
      </c>
      <c r="R254">
        <v>99999</v>
      </c>
      <c r="S254" t="s">
        <v>30</v>
      </c>
      <c r="U254" t="s">
        <v>103</v>
      </c>
      <c r="V254" t="s">
        <v>37</v>
      </c>
      <c r="W254">
        <v>2.99</v>
      </c>
      <c r="X254">
        <v>49</v>
      </c>
      <c r="Y254">
        <v>146.51000000000002</v>
      </c>
      <c r="Z254">
        <v>14.651000000000003</v>
      </c>
    </row>
    <row r="255" spans="1:26" x14ac:dyDescent="0.35">
      <c r="A255">
        <v>1292</v>
      </c>
      <c r="B255">
        <v>41913</v>
      </c>
      <c r="C255">
        <v>1</v>
      </c>
      <c r="D255" t="s">
        <v>118</v>
      </c>
      <c r="E255" t="s">
        <v>119</v>
      </c>
      <c r="F255" t="s">
        <v>120</v>
      </c>
      <c r="G255" t="s">
        <v>121</v>
      </c>
      <c r="H255">
        <v>99999</v>
      </c>
      <c r="I255" t="s">
        <v>30</v>
      </c>
      <c r="J255" t="s">
        <v>60</v>
      </c>
      <c r="K255" t="s">
        <v>61</v>
      </c>
      <c r="N255" t="s">
        <v>122</v>
      </c>
      <c r="O255" t="s">
        <v>119</v>
      </c>
      <c r="P255" t="s">
        <v>120</v>
      </c>
      <c r="Q255" t="s">
        <v>121</v>
      </c>
      <c r="R255">
        <v>99999</v>
      </c>
      <c r="S255" t="s">
        <v>30</v>
      </c>
      <c r="U255" t="s">
        <v>54</v>
      </c>
      <c r="V255" t="s">
        <v>37</v>
      </c>
      <c r="W255">
        <v>18</v>
      </c>
      <c r="X255">
        <v>22</v>
      </c>
      <c r="Y255">
        <v>396</v>
      </c>
      <c r="Z255">
        <v>38.015999999999998</v>
      </c>
    </row>
    <row r="256" spans="1:26" x14ac:dyDescent="0.35">
      <c r="A256">
        <v>1293</v>
      </c>
      <c r="B256">
        <v>41913</v>
      </c>
      <c r="C256">
        <v>1</v>
      </c>
      <c r="D256" t="s">
        <v>118</v>
      </c>
      <c r="E256" t="s">
        <v>119</v>
      </c>
      <c r="F256" t="s">
        <v>120</v>
      </c>
      <c r="G256" t="s">
        <v>121</v>
      </c>
      <c r="H256">
        <v>99999</v>
      </c>
      <c r="I256" t="s">
        <v>30</v>
      </c>
      <c r="J256" t="s">
        <v>60</v>
      </c>
      <c r="K256" t="s">
        <v>61</v>
      </c>
      <c r="N256" t="s">
        <v>122</v>
      </c>
      <c r="O256" t="s">
        <v>119</v>
      </c>
      <c r="P256" t="s">
        <v>120</v>
      </c>
      <c r="Q256" t="s">
        <v>121</v>
      </c>
      <c r="R256">
        <v>99999</v>
      </c>
      <c r="S256" t="s">
        <v>30</v>
      </c>
      <c r="U256" t="s">
        <v>55</v>
      </c>
      <c r="V256" t="s">
        <v>37</v>
      </c>
      <c r="W256">
        <v>46</v>
      </c>
      <c r="X256">
        <v>73</v>
      </c>
      <c r="Y256">
        <v>3358</v>
      </c>
      <c r="Z256">
        <v>339.15800000000002</v>
      </c>
    </row>
    <row r="257" spans="1:26" x14ac:dyDescent="0.35">
      <c r="A257">
        <v>1294</v>
      </c>
      <c r="B257">
        <v>41913</v>
      </c>
      <c r="C257">
        <v>1</v>
      </c>
      <c r="D257" t="s">
        <v>118</v>
      </c>
      <c r="E257" t="s">
        <v>119</v>
      </c>
      <c r="F257" t="s">
        <v>120</v>
      </c>
      <c r="G257" t="s">
        <v>121</v>
      </c>
      <c r="H257">
        <v>99999</v>
      </c>
      <c r="I257" t="s">
        <v>30</v>
      </c>
      <c r="J257" t="s">
        <v>60</v>
      </c>
      <c r="K257" t="s">
        <v>61</v>
      </c>
      <c r="N257" t="s">
        <v>122</v>
      </c>
      <c r="O257" t="s">
        <v>119</v>
      </c>
      <c r="P257" t="s">
        <v>120</v>
      </c>
      <c r="Q257" t="s">
        <v>121</v>
      </c>
      <c r="R257">
        <v>99999</v>
      </c>
      <c r="S257" t="s">
        <v>30</v>
      </c>
      <c r="U257" t="s">
        <v>103</v>
      </c>
      <c r="V257" t="s">
        <v>37</v>
      </c>
      <c r="W257">
        <v>2.99</v>
      </c>
      <c r="X257">
        <v>85</v>
      </c>
      <c r="Y257">
        <v>254.15</v>
      </c>
      <c r="Z257">
        <v>24.652550000000002</v>
      </c>
    </row>
    <row r="258" spans="1:26" x14ac:dyDescent="0.35">
      <c r="A258">
        <v>1295</v>
      </c>
      <c r="B258">
        <v>41940</v>
      </c>
      <c r="C258">
        <v>28</v>
      </c>
      <c r="D258" t="s">
        <v>90</v>
      </c>
      <c r="E258" t="s">
        <v>91</v>
      </c>
      <c r="F258" t="s">
        <v>92</v>
      </c>
      <c r="G258" t="s">
        <v>93</v>
      </c>
      <c r="H258">
        <v>99999</v>
      </c>
      <c r="I258" t="s">
        <v>30</v>
      </c>
      <c r="J258" t="s">
        <v>94</v>
      </c>
      <c r="K258" t="s">
        <v>95</v>
      </c>
      <c r="L258">
        <v>41942</v>
      </c>
      <c r="M258" t="s">
        <v>62</v>
      </c>
      <c r="N258" t="s">
        <v>96</v>
      </c>
      <c r="O258" t="s">
        <v>91</v>
      </c>
      <c r="P258" t="s">
        <v>92</v>
      </c>
      <c r="Q258" t="s">
        <v>93</v>
      </c>
      <c r="R258">
        <v>99999</v>
      </c>
      <c r="S258" t="s">
        <v>30</v>
      </c>
      <c r="T258" t="s">
        <v>48</v>
      </c>
      <c r="U258" t="s">
        <v>80</v>
      </c>
      <c r="V258" t="s">
        <v>81</v>
      </c>
      <c r="W258">
        <v>9.65</v>
      </c>
      <c r="X258">
        <v>44</v>
      </c>
      <c r="Y258">
        <v>424.6</v>
      </c>
      <c r="Z258">
        <v>44.158400000000007</v>
      </c>
    </row>
    <row r="259" spans="1:26" x14ac:dyDescent="0.35">
      <c r="A259">
        <v>1296</v>
      </c>
      <c r="B259">
        <v>41940</v>
      </c>
      <c r="C259">
        <v>28</v>
      </c>
      <c r="D259" t="s">
        <v>90</v>
      </c>
      <c r="E259" t="s">
        <v>91</v>
      </c>
      <c r="F259" t="s">
        <v>92</v>
      </c>
      <c r="G259" t="s">
        <v>93</v>
      </c>
      <c r="H259">
        <v>99999</v>
      </c>
      <c r="I259" t="s">
        <v>30</v>
      </c>
      <c r="J259" t="s">
        <v>94</v>
      </c>
      <c r="K259" t="s">
        <v>95</v>
      </c>
      <c r="L259">
        <v>41942</v>
      </c>
      <c r="M259" t="s">
        <v>62</v>
      </c>
      <c r="N259" t="s">
        <v>96</v>
      </c>
      <c r="O259" t="s">
        <v>91</v>
      </c>
      <c r="P259" t="s">
        <v>92</v>
      </c>
      <c r="Q259" t="s">
        <v>93</v>
      </c>
      <c r="R259">
        <v>99999</v>
      </c>
      <c r="S259" t="s">
        <v>30</v>
      </c>
      <c r="T259" t="s">
        <v>48</v>
      </c>
      <c r="U259" t="s">
        <v>123</v>
      </c>
      <c r="V259" t="s">
        <v>124</v>
      </c>
      <c r="W259">
        <v>18.399999999999999</v>
      </c>
      <c r="X259">
        <v>24</v>
      </c>
      <c r="Y259">
        <v>441.59999999999997</v>
      </c>
      <c r="Z259">
        <v>42.835199999999993</v>
      </c>
    </row>
    <row r="260" spans="1:26" x14ac:dyDescent="0.35">
      <c r="A260">
        <v>1297</v>
      </c>
      <c r="B260">
        <v>41921</v>
      </c>
      <c r="C260">
        <v>9</v>
      </c>
      <c r="D260" t="s">
        <v>125</v>
      </c>
      <c r="E260" t="s">
        <v>126</v>
      </c>
      <c r="F260" t="s">
        <v>127</v>
      </c>
      <c r="G260" t="s">
        <v>128</v>
      </c>
      <c r="H260">
        <v>99999</v>
      </c>
      <c r="I260" t="s">
        <v>30</v>
      </c>
      <c r="J260" t="s">
        <v>129</v>
      </c>
      <c r="K260" t="s">
        <v>32</v>
      </c>
      <c r="L260">
        <v>41923</v>
      </c>
      <c r="M260" t="s">
        <v>46</v>
      </c>
      <c r="N260" t="s">
        <v>130</v>
      </c>
      <c r="O260" t="s">
        <v>126</v>
      </c>
      <c r="P260" t="s">
        <v>127</v>
      </c>
      <c r="Q260" t="s">
        <v>128</v>
      </c>
      <c r="R260">
        <v>99999</v>
      </c>
      <c r="S260" t="s">
        <v>30</v>
      </c>
      <c r="T260" t="s">
        <v>35</v>
      </c>
      <c r="U260" t="s">
        <v>131</v>
      </c>
      <c r="V260" t="s">
        <v>132</v>
      </c>
      <c r="W260">
        <v>19.5</v>
      </c>
      <c r="X260">
        <v>64</v>
      </c>
      <c r="Y260">
        <v>1248</v>
      </c>
      <c r="Z260">
        <v>119.80800000000001</v>
      </c>
    </row>
    <row r="261" spans="1:26" x14ac:dyDescent="0.35">
      <c r="A261">
        <v>1298</v>
      </c>
      <c r="B261">
        <v>41921</v>
      </c>
      <c r="C261">
        <v>9</v>
      </c>
      <c r="D261" t="s">
        <v>125</v>
      </c>
      <c r="E261" t="s">
        <v>126</v>
      </c>
      <c r="F261" t="s">
        <v>127</v>
      </c>
      <c r="G261" t="s">
        <v>128</v>
      </c>
      <c r="H261">
        <v>99999</v>
      </c>
      <c r="I261" t="s">
        <v>30</v>
      </c>
      <c r="J261" t="s">
        <v>129</v>
      </c>
      <c r="K261" t="s">
        <v>32</v>
      </c>
      <c r="L261">
        <v>41923</v>
      </c>
      <c r="M261" t="s">
        <v>46</v>
      </c>
      <c r="N261" t="s">
        <v>130</v>
      </c>
      <c r="O261" t="s">
        <v>126</v>
      </c>
      <c r="P261" t="s">
        <v>127</v>
      </c>
      <c r="Q261" t="s">
        <v>128</v>
      </c>
      <c r="R261">
        <v>99999</v>
      </c>
      <c r="S261" t="s">
        <v>30</v>
      </c>
      <c r="T261" t="s">
        <v>35</v>
      </c>
      <c r="U261" t="s">
        <v>133</v>
      </c>
      <c r="V261" t="s">
        <v>134</v>
      </c>
      <c r="W261">
        <v>34.799999999999997</v>
      </c>
      <c r="X261">
        <v>70</v>
      </c>
      <c r="Y261">
        <v>2436</v>
      </c>
      <c r="Z261">
        <v>246.03600000000003</v>
      </c>
    </row>
    <row r="262" spans="1:26" x14ac:dyDescent="0.35">
      <c r="A262">
        <v>1299</v>
      </c>
      <c r="B262">
        <v>41918</v>
      </c>
      <c r="C262">
        <v>6</v>
      </c>
      <c r="D262" t="s">
        <v>82</v>
      </c>
      <c r="E262" t="s">
        <v>83</v>
      </c>
      <c r="F262" t="s">
        <v>84</v>
      </c>
      <c r="G262" t="s">
        <v>85</v>
      </c>
      <c r="H262">
        <v>99999</v>
      </c>
      <c r="I262" t="s">
        <v>30</v>
      </c>
      <c r="J262" t="s">
        <v>86</v>
      </c>
      <c r="K262" t="s">
        <v>61</v>
      </c>
      <c r="L262">
        <v>41920</v>
      </c>
      <c r="M262" t="s">
        <v>33</v>
      </c>
      <c r="N262" t="s">
        <v>87</v>
      </c>
      <c r="O262" t="s">
        <v>83</v>
      </c>
      <c r="P262" t="s">
        <v>84</v>
      </c>
      <c r="Q262" t="s">
        <v>85</v>
      </c>
      <c r="R262">
        <v>99999</v>
      </c>
      <c r="S262" t="s">
        <v>30</v>
      </c>
      <c r="T262" t="s">
        <v>48</v>
      </c>
      <c r="U262" t="s">
        <v>36</v>
      </c>
      <c r="V262" t="s">
        <v>37</v>
      </c>
      <c r="W262">
        <v>14</v>
      </c>
      <c r="X262">
        <v>98</v>
      </c>
      <c r="Y262">
        <v>1372</v>
      </c>
      <c r="Z262">
        <v>138.57200000000003</v>
      </c>
    </row>
    <row r="263" spans="1:26" x14ac:dyDescent="0.35">
      <c r="A263">
        <v>1300</v>
      </c>
      <c r="B263">
        <v>41920</v>
      </c>
      <c r="C263">
        <v>8</v>
      </c>
      <c r="D263" t="s">
        <v>56</v>
      </c>
      <c r="E263" t="s">
        <v>57</v>
      </c>
      <c r="F263" t="s">
        <v>58</v>
      </c>
      <c r="G263" t="s">
        <v>59</v>
      </c>
      <c r="H263">
        <v>99999</v>
      </c>
      <c r="I263" t="s">
        <v>30</v>
      </c>
      <c r="J263" t="s">
        <v>60</v>
      </c>
      <c r="K263" t="s">
        <v>61</v>
      </c>
      <c r="L263">
        <v>41922</v>
      </c>
      <c r="M263" t="s">
        <v>33</v>
      </c>
      <c r="N263" t="s">
        <v>63</v>
      </c>
      <c r="O263" t="s">
        <v>57</v>
      </c>
      <c r="P263" t="s">
        <v>58</v>
      </c>
      <c r="Q263" t="s">
        <v>59</v>
      </c>
      <c r="R263">
        <v>99999</v>
      </c>
      <c r="S263" t="s">
        <v>30</v>
      </c>
      <c r="T263" t="s">
        <v>35</v>
      </c>
      <c r="U263" t="s">
        <v>88</v>
      </c>
      <c r="V263" t="s">
        <v>89</v>
      </c>
      <c r="W263">
        <v>40</v>
      </c>
      <c r="X263">
        <v>48</v>
      </c>
      <c r="Y263">
        <v>1920</v>
      </c>
      <c r="Z263">
        <v>188.16</v>
      </c>
    </row>
    <row r="264" spans="1:26" x14ac:dyDescent="0.35">
      <c r="A264">
        <v>1301</v>
      </c>
      <c r="B264">
        <v>41920</v>
      </c>
      <c r="C264">
        <v>8</v>
      </c>
      <c r="D264" t="s">
        <v>56</v>
      </c>
      <c r="E264" t="s">
        <v>57</v>
      </c>
      <c r="F264" t="s">
        <v>58</v>
      </c>
      <c r="G264" t="s">
        <v>59</v>
      </c>
      <c r="H264">
        <v>99999</v>
      </c>
      <c r="I264" t="s">
        <v>30</v>
      </c>
      <c r="J264" t="s">
        <v>60</v>
      </c>
      <c r="K264" t="s">
        <v>61</v>
      </c>
      <c r="L264">
        <v>41922</v>
      </c>
      <c r="M264" t="s">
        <v>33</v>
      </c>
      <c r="N264" t="s">
        <v>63</v>
      </c>
      <c r="O264" t="s">
        <v>57</v>
      </c>
      <c r="P264" t="s">
        <v>58</v>
      </c>
      <c r="Q264" t="s">
        <v>59</v>
      </c>
      <c r="R264">
        <v>99999</v>
      </c>
      <c r="S264" t="s">
        <v>30</v>
      </c>
      <c r="T264" t="s">
        <v>35</v>
      </c>
      <c r="U264" t="s">
        <v>64</v>
      </c>
      <c r="V264" t="s">
        <v>65</v>
      </c>
      <c r="W264">
        <v>9.1999999999999993</v>
      </c>
      <c r="X264">
        <v>100</v>
      </c>
      <c r="Y264">
        <v>919.99999999999989</v>
      </c>
      <c r="Z264">
        <v>91.08</v>
      </c>
    </row>
    <row r="265" spans="1:26" x14ac:dyDescent="0.35">
      <c r="A265">
        <v>1302</v>
      </c>
      <c r="B265">
        <v>41937</v>
      </c>
      <c r="C265">
        <v>25</v>
      </c>
      <c r="D265" t="s">
        <v>137</v>
      </c>
      <c r="E265" t="s">
        <v>138</v>
      </c>
      <c r="F265" t="s">
        <v>99</v>
      </c>
      <c r="G265" t="s">
        <v>100</v>
      </c>
      <c r="H265">
        <v>99999</v>
      </c>
      <c r="I265" t="s">
        <v>30</v>
      </c>
      <c r="J265" t="s">
        <v>101</v>
      </c>
      <c r="K265" t="s">
        <v>45</v>
      </c>
      <c r="L265">
        <v>41939</v>
      </c>
      <c r="M265" t="s">
        <v>46</v>
      </c>
      <c r="N265" t="s">
        <v>139</v>
      </c>
      <c r="O265" t="s">
        <v>138</v>
      </c>
      <c r="P265" t="s">
        <v>99</v>
      </c>
      <c r="Q265" t="s">
        <v>100</v>
      </c>
      <c r="R265">
        <v>99999</v>
      </c>
      <c r="S265" t="s">
        <v>30</v>
      </c>
      <c r="T265" t="s">
        <v>79</v>
      </c>
      <c r="U265" t="s">
        <v>146</v>
      </c>
      <c r="V265" t="s">
        <v>65</v>
      </c>
      <c r="W265">
        <v>10</v>
      </c>
      <c r="X265">
        <v>90</v>
      </c>
      <c r="Y265">
        <v>900</v>
      </c>
      <c r="Z265">
        <v>87.3</v>
      </c>
    </row>
    <row r="266" spans="1:26" x14ac:dyDescent="0.35">
      <c r="A266">
        <v>1303</v>
      </c>
      <c r="B266">
        <v>41938</v>
      </c>
      <c r="C266">
        <v>26</v>
      </c>
      <c r="D266" t="s">
        <v>140</v>
      </c>
      <c r="E266" t="s">
        <v>141</v>
      </c>
      <c r="F266" t="s">
        <v>115</v>
      </c>
      <c r="G266" t="s">
        <v>116</v>
      </c>
      <c r="H266">
        <v>99999</v>
      </c>
      <c r="I266" t="s">
        <v>30</v>
      </c>
      <c r="J266" t="s">
        <v>94</v>
      </c>
      <c r="K266" t="s">
        <v>95</v>
      </c>
      <c r="L266">
        <v>41940</v>
      </c>
      <c r="M266" t="s">
        <v>62</v>
      </c>
      <c r="N266" t="s">
        <v>142</v>
      </c>
      <c r="O266" t="s">
        <v>141</v>
      </c>
      <c r="P266" t="s">
        <v>115</v>
      </c>
      <c r="Q266" t="s">
        <v>116</v>
      </c>
      <c r="R266">
        <v>99999</v>
      </c>
      <c r="S266" t="s">
        <v>30</v>
      </c>
      <c r="T266" t="s">
        <v>48</v>
      </c>
      <c r="U266" t="s">
        <v>147</v>
      </c>
      <c r="V266" t="s">
        <v>148</v>
      </c>
      <c r="W266">
        <v>21.35</v>
      </c>
      <c r="X266">
        <v>49</v>
      </c>
      <c r="Y266">
        <v>1046.1500000000001</v>
      </c>
      <c r="Z266">
        <v>102.5227</v>
      </c>
    </row>
    <row r="267" spans="1:26" x14ac:dyDescent="0.35">
      <c r="A267">
        <v>1304</v>
      </c>
      <c r="B267">
        <v>41938</v>
      </c>
      <c r="C267">
        <v>26</v>
      </c>
      <c r="D267" t="s">
        <v>140</v>
      </c>
      <c r="E267" t="s">
        <v>141</v>
      </c>
      <c r="F267" t="s">
        <v>115</v>
      </c>
      <c r="G267" t="s">
        <v>116</v>
      </c>
      <c r="H267">
        <v>99999</v>
      </c>
      <c r="I267" t="s">
        <v>30</v>
      </c>
      <c r="J267" t="s">
        <v>94</v>
      </c>
      <c r="K267" t="s">
        <v>95</v>
      </c>
      <c r="L267">
        <v>41940</v>
      </c>
      <c r="M267" t="s">
        <v>62</v>
      </c>
      <c r="N267" t="s">
        <v>142</v>
      </c>
      <c r="O267" t="s">
        <v>141</v>
      </c>
      <c r="P267" t="s">
        <v>115</v>
      </c>
      <c r="Q267" t="s">
        <v>116</v>
      </c>
      <c r="R267">
        <v>99999</v>
      </c>
      <c r="S267" t="s">
        <v>30</v>
      </c>
      <c r="T267" t="s">
        <v>48</v>
      </c>
      <c r="U267" t="s">
        <v>80</v>
      </c>
      <c r="V267" t="s">
        <v>81</v>
      </c>
      <c r="W267">
        <v>9.65</v>
      </c>
      <c r="X267">
        <v>71</v>
      </c>
      <c r="Y267">
        <v>685.15</v>
      </c>
      <c r="Z267">
        <v>65.7744</v>
      </c>
    </row>
    <row r="268" spans="1:26" x14ac:dyDescent="0.35">
      <c r="A268">
        <v>1305</v>
      </c>
      <c r="B268">
        <v>41938</v>
      </c>
      <c r="C268">
        <v>26</v>
      </c>
      <c r="D268" t="s">
        <v>140</v>
      </c>
      <c r="E268" t="s">
        <v>141</v>
      </c>
      <c r="F268" t="s">
        <v>115</v>
      </c>
      <c r="G268" t="s">
        <v>116</v>
      </c>
      <c r="H268">
        <v>99999</v>
      </c>
      <c r="I268" t="s">
        <v>30</v>
      </c>
      <c r="J268" t="s">
        <v>94</v>
      </c>
      <c r="K268" t="s">
        <v>95</v>
      </c>
      <c r="L268">
        <v>41940</v>
      </c>
      <c r="M268" t="s">
        <v>62</v>
      </c>
      <c r="N268" t="s">
        <v>142</v>
      </c>
      <c r="O268" t="s">
        <v>141</v>
      </c>
      <c r="P268" t="s">
        <v>115</v>
      </c>
      <c r="Q268" t="s">
        <v>116</v>
      </c>
      <c r="R268">
        <v>99999</v>
      </c>
      <c r="S268" t="s">
        <v>30</v>
      </c>
      <c r="T268" t="s">
        <v>48</v>
      </c>
      <c r="U268" t="s">
        <v>123</v>
      </c>
      <c r="V268" t="s">
        <v>124</v>
      </c>
      <c r="W268">
        <v>18.399999999999999</v>
      </c>
      <c r="X268">
        <v>10</v>
      </c>
      <c r="Y268">
        <v>184</v>
      </c>
      <c r="Z268">
        <v>19.136000000000003</v>
      </c>
    </row>
    <row r="269" spans="1:26" x14ac:dyDescent="0.35">
      <c r="A269">
        <v>1306</v>
      </c>
      <c r="B269">
        <v>41941</v>
      </c>
      <c r="C269">
        <v>29</v>
      </c>
      <c r="D269" t="s">
        <v>66</v>
      </c>
      <c r="E269" t="s">
        <v>67</v>
      </c>
      <c r="F269" t="s">
        <v>68</v>
      </c>
      <c r="G269" t="s">
        <v>69</v>
      </c>
      <c r="H269">
        <v>99999</v>
      </c>
      <c r="I269" t="s">
        <v>30</v>
      </c>
      <c r="J269" t="s">
        <v>70</v>
      </c>
      <c r="K269" t="s">
        <v>32</v>
      </c>
      <c r="L269">
        <v>41943</v>
      </c>
      <c r="M269" t="s">
        <v>33</v>
      </c>
      <c r="N269" t="s">
        <v>71</v>
      </c>
      <c r="O269" t="s">
        <v>67</v>
      </c>
      <c r="P269" t="s">
        <v>68</v>
      </c>
      <c r="Q269" t="s">
        <v>69</v>
      </c>
      <c r="R269">
        <v>99999</v>
      </c>
      <c r="S269" t="s">
        <v>30</v>
      </c>
      <c r="T269" t="s">
        <v>35</v>
      </c>
      <c r="U269" t="s">
        <v>36</v>
      </c>
      <c r="V269" t="s">
        <v>37</v>
      </c>
      <c r="W269">
        <v>14</v>
      </c>
      <c r="X269">
        <v>78</v>
      </c>
      <c r="Y269">
        <v>1092</v>
      </c>
      <c r="Z269">
        <v>112.476</v>
      </c>
    </row>
    <row r="270" spans="1:26" x14ac:dyDescent="0.35">
      <c r="A270">
        <v>1307</v>
      </c>
      <c r="B270">
        <v>41918</v>
      </c>
      <c r="C270">
        <v>6</v>
      </c>
      <c r="D270" t="s">
        <v>82</v>
      </c>
      <c r="E270" t="s">
        <v>83</v>
      </c>
      <c r="F270" t="s">
        <v>84</v>
      </c>
      <c r="G270" t="s">
        <v>85</v>
      </c>
      <c r="H270">
        <v>99999</v>
      </c>
      <c r="I270" t="s">
        <v>30</v>
      </c>
      <c r="J270" t="s">
        <v>86</v>
      </c>
      <c r="K270" t="s">
        <v>61</v>
      </c>
      <c r="L270">
        <v>41920</v>
      </c>
      <c r="M270" t="s">
        <v>62</v>
      </c>
      <c r="N270" t="s">
        <v>87</v>
      </c>
      <c r="O270" t="s">
        <v>83</v>
      </c>
      <c r="P270" t="s">
        <v>84</v>
      </c>
      <c r="Q270" t="s">
        <v>85</v>
      </c>
      <c r="R270">
        <v>99999</v>
      </c>
      <c r="S270" t="s">
        <v>30</v>
      </c>
      <c r="T270" t="s">
        <v>35</v>
      </c>
      <c r="U270" t="s">
        <v>72</v>
      </c>
      <c r="V270" t="s">
        <v>73</v>
      </c>
      <c r="W270">
        <v>12.75</v>
      </c>
      <c r="X270">
        <v>44</v>
      </c>
      <c r="Y270">
        <v>561</v>
      </c>
      <c r="Z270">
        <v>53.856000000000002</v>
      </c>
    </row>
    <row r="271" spans="1:26" x14ac:dyDescent="0.35">
      <c r="A271">
        <v>1309</v>
      </c>
      <c r="B271">
        <v>41916</v>
      </c>
      <c r="C271">
        <v>4</v>
      </c>
      <c r="D271" t="s">
        <v>40</v>
      </c>
      <c r="E271" t="s">
        <v>41</v>
      </c>
      <c r="F271" t="s">
        <v>42</v>
      </c>
      <c r="G271" t="s">
        <v>43</v>
      </c>
      <c r="H271">
        <v>99999</v>
      </c>
      <c r="I271" t="s">
        <v>30</v>
      </c>
      <c r="J271" t="s">
        <v>44</v>
      </c>
      <c r="K271" t="s">
        <v>45</v>
      </c>
      <c r="L271">
        <v>41918</v>
      </c>
      <c r="M271" t="s">
        <v>46</v>
      </c>
      <c r="N271" t="s">
        <v>47</v>
      </c>
      <c r="O271" t="s">
        <v>41</v>
      </c>
      <c r="P271" t="s">
        <v>42</v>
      </c>
      <c r="Q271" t="s">
        <v>43</v>
      </c>
      <c r="R271">
        <v>99999</v>
      </c>
      <c r="S271" t="s">
        <v>30</v>
      </c>
      <c r="T271" t="s">
        <v>48</v>
      </c>
      <c r="U271" t="s">
        <v>149</v>
      </c>
      <c r="V271" t="s">
        <v>110</v>
      </c>
      <c r="W271">
        <v>81</v>
      </c>
      <c r="X271">
        <v>82</v>
      </c>
      <c r="Y271">
        <v>6642</v>
      </c>
      <c r="Z271">
        <v>697.41000000000008</v>
      </c>
    </row>
    <row r="272" spans="1:26" x14ac:dyDescent="0.35">
      <c r="A272">
        <v>1310</v>
      </c>
      <c r="B272">
        <v>41916</v>
      </c>
      <c r="C272">
        <v>4</v>
      </c>
      <c r="D272" t="s">
        <v>40</v>
      </c>
      <c r="E272" t="s">
        <v>41</v>
      </c>
      <c r="F272" t="s">
        <v>42</v>
      </c>
      <c r="G272" t="s">
        <v>43</v>
      </c>
      <c r="H272">
        <v>99999</v>
      </c>
      <c r="I272" t="s">
        <v>30</v>
      </c>
      <c r="J272" t="s">
        <v>44</v>
      </c>
      <c r="K272" t="s">
        <v>45</v>
      </c>
      <c r="L272">
        <v>41918</v>
      </c>
      <c r="M272" t="s">
        <v>46</v>
      </c>
      <c r="N272" t="s">
        <v>47</v>
      </c>
      <c r="O272" t="s">
        <v>41</v>
      </c>
      <c r="P272" t="s">
        <v>42</v>
      </c>
      <c r="Q272" t="s">
        <v>43</v>
      </c>
      <c r="R272">
        <v>99999</v>
      </c>
      <c r="S272" t="s">
        <v>30</v>
      </c>
      <c r="T272" t="s">
        <v>48</v>
      </c>
      <c r="U272" t="s">
        <v>150</v>
      </c>
      <c r="V272" t="s">
        <v>151</v>
      </c>
      <c r="W272">
        <v>7</v>
      </c>
      <c r="X272">
        <v>29</v>
      </c>
      <c r="Y272">
        <v>203</v>
      </c>
      <c r="Z272">
        <v>20.3</v>
      </c>
    </row>
    <row r="273" spans="1:26" x14ac:dyDescent="0.35">
      <c r="A273">
        <v>1312</v>
      </c>
      <c r="B273">
        <v>41920</v>
      </c>
      <c r="C273">
        <v>8</v>
      </c>
      <c r="D273" t="s">
        <v>56</v>
      </c>
      <c r="E273" t="s">
        <v>57</v>
      </c>
      <c r="F273" t="s">
        <v>58</v>
      </c>
      <c r="G273" t="s">
        <v>59</v>
      </c>
      <c r="H273">
        <v>99999</v>
      </c>
      <c r="I273" t="s">
        <v>30</v>
      </c>
      <c r="J273" t="s">
        <v>60</v>
      </c>
      <c r="K273" t="s">
        <v>61</v>
      </c>
      <c r="L273">
        <v>41922</v>
      </c>
      <c r="M273" t="s">
        <v>62</v>
      </c>
      <c r="N273" t="s">
        <v>63</v>
      </c>
      <c r="O273" t="s">
        <v>57</v>
      </c>
      <c r="P273" t="s">
        <v>58</v>
      </c>
      <c r="Q273" t="s">
        <v>59</v>
      </c>
      <c r="R273">
        <v>99999</v>
      </c>
      <c r="S273" t="s">
        <v>30</v>
      </c>
      <c r="T273" t="s">
        <v>48</v>
      </c>
      <c r="U273" t="s">
        <v>133</v>
      </c>
      <c r="V273" t="s">
        <v>134</v>
      </c>
      <c r="W273">
        <v>34.799999999999997</v>
      </c>
      <c r="X273">
        <v>93</v>
      </c>
      <c r="Y273">
        <v>3236.3999999999996</v>
      </c>
      <c r="Z273">
        <v>313.93079999999998</v>
      </c>
    </row>
    <row r="274" spans="1:26" x14ac:dyDescent="0.35">
      <c r="A274">
        <v>1315</v>
      </c>
      <c r="B274">
        <v>41915</v>
      </c>
      <c r="C274">
        <v>3</v>
      </c>
      <c r="D274" t="s">
        <v>74</v>
      </c>
      <c r="E274" t="s">
        <v>75</v>
      </c>
      <c r="F274" t="s">
        <v>76</v>
      </c>
      <c r="G274" t="s">
        <v>77</v>
      </c>
      <c r="H274">
        <v>99999</v>
      </c>
      <c r="I274" t="s">
        <v>30</v>
      </c>
      <c r="J274" t="s">
        <v>31</v>
      </c>
      <c r="K274" t="s">
        <v>32</v>
      </c>
      <c r="L274">
        <v>41917</v>
      </c>
      <c r="M274" t="s">
        <v>33</v>
      </c>
      <c r="N274" t="s">
        <v>78</v>
      </c>
      <c r="O274" t="s">
        <v>75</v>
      </c>
      <c r="P274" t="s">
        <v>76</v>
      </c>
      <c r="Q274" t="s">
        <v>77</v>
      </c>
      <c r="R274">
        <v>99999</v>
      </c>
      <c r="S274" t="s">
        <v>30</v>
      </c>
      <c r="T274" t="s">
        <v>79</v>
      </c>
      <c r="U274" t="s">
        <v>135</v>
      </c>
      <c r="V274" t="s">
        <v>112</v>
      </c>
      <c r="W274">
        <v>10</v>
      </c>
      <c r="X274">
        <v>11</v>
      </c>
      <c r="Y274">
        <v>110</v>
      </c>
      <c r="Z274">
        <v>11.440000000000001</v>
      </c>
    </row>
    <row r="275" spans="1:26" x14ac:dyDescent="0.35">
      <c r="A275">
        <v>1316</v>
      </c>
      <c r="B275">
        <v>41915</v>
      </c>
      <c r="C275">
        <v>3</v>
      </c>
      <c r="D275" t="s">
        <v>74</v>
      </c>
      <c r="E275" t="s">
        <v>75</v>
      </c>
      <c r="F275" t="s">
        <v>76</v>
      </c>
      <c r="G275" t="s">
        <v>77</v>
      </c>
      <c r="H275">
        <v>99999</v>
      </c>
      <c r="I275" t="s">
        <v>30</v>
      </c>
      <c r="J275" t="s">
        <v>31</v>
      </c>
      <c r="K275" t="s">
        <v>32</v>
      </c>
      <c r="L275">
        <v>41917</v>
      </c>
      <c r="M275" t="s">
        <v>33</v>
      </c>
      <c r="N275" t="s">
        <v>78</v>
      </c>
      <c r="O275" t="s">
        <v>75</v>
      </c>
      <c r="P275" t="s">
        <v>76</v>
      </c>
      <c r="Q275" t="s">
        <v>77</v>
      </c>
      <c r="R275">
        <v>99999</v>
      </c>
      <c r="S275" t="s">
        <v>30</v>
      </c>
      <c r="T275" t="s">
        <v>79</v>
      </c>
      <c r="U275" t="s">
        <v>88</v>
      </c>
      <c r="V275" t="s">
        <v>89</v>
      </c>
      <c r="W275">
        <v>40</v>
      </c>
      <c r="X275">
        <v>91</v>
      </c>
      <c r="Y275">
        <v>3640</v>
      </c>
      <c r="Z275">
        <v>364</v>
      </c>
    </row>
    <row r="276" spans="1:26" x14ac:dyDescent="0.35">
      <c r="A276">
        <v>1320</v>
      </c>
      <c r="B276">
        <v>41922</v>
      </c>
      <c r="C276">
        <v>10</v>
      </c>
      <c r="D276" t="s">
        <v>97</v>
      </c>
      <c r="E276" t="s">
        <v>98</v>
      </c>
      <c r="F276" t="s">
        <v>99</v>
      </c>
      <c r="G276" t="s">
        <v>100</v>
      </c>
      <c r="H276">
        <v>99999</v>
      </c>
      <c r="I276" t="s">
        <v>30</v>
      </c>
      <c r="J276" t="s">
        <v>101</v>
      </c>
      <c r="K276" t="s">
        <v>45</v>
      </c>
      <c r="L276">
        <v>41924</v>
      </c>
      <c r="M276" t="s">
        <v>33</v>
      </c>
      <c r="N276" t="s">
        <v>102</v>
      </c>
      <c r="O276" t="s">
        <v>98</v>
      </c>
      <c r="P276" t="s">
        <v>99</v>
      </c>
      <c r="Q276" t="s">
        <v>100</v>
      </c>
      <c r="R276">
        <v>99999</v>
      </c>
      <c r="S276" t="s">
        <v>30</v>
      </c>
      <c r="T276" t="s">
        <v>48</v>
      </c>
      <c r="U276" t="s">
        <v>136</v>
      </c>
      <c r="V276" t="s">
        <v>39</v>
      </c>
      <c r="W276">
        <v>10</v>
      </c>
      <c r="X276">
        <v>12</v>
      </c>
      <c r="Y276">
        <v>120</v>
      </c>
      <c r="Z276">
        <v>12.36</v>
      </c>
    </row>
    <row r="277" spans="1:26" x14ac:dyDescent="0.35">
      <c r="A277">
        <v>1322</v>
      </c>
      <c r="B277">
        <v>41922</v>
      </c>
      <c r="C277">
        <v>10</v>
      </c>
      <c r="D277" t="s">
        <v>97</v>
      </c>
      <c r="E277" t="s">
        <v>98</v>
      </c>
      <c r="F277" t="s">
        <v>99</v>
      </c>
      <c r="G277" t="s">
        <v>100</v>
      </c>
      <c r="H277">
        <v>99999</v>
      </c>
      <c r="I277" t="s">
        <v>30</v>
      </c>
      <c r="J277" t="s">
        <v>101</v>
      </c>
      <c r="K277" t="s">
        <v>45</v>
      </c>
      <c r="M277" t="s">
        <v>46</v>
      </c>
      <c r="N277" t="s">
        <v>102</v>
      </c>
      <c r="O277" t="s">
        <v>98</v>
      </c>
      <c r="P277" t="s">
        <v>99</v>
      </c>
      <c r="Q277" t="s">
        <v>100</v>
      </c>
      <c r="R277">
        <v>99999</v>
      </c>
      <c r="S277" t="s">
        <v>30</v>
      </c>
      <c r="U277" t="s">
        <v>38</v>
      </c>
      <c r="V277" t="s">
        <v>39</v>
      </c>
      <c r="W277">
        <v>3.5</v>
      </c>
      <c r="X277">
        <v>78</v>
      </c>
      <c r="Y277">
        <v>273</v>
      </c>
      <c r="Z277">
        <v>27.3</v>
      </c>
    </row>
    <row r="278" spans="1:26" x14ac:dyDescent="0.35">
      <c r="A278">
        <v>1323</v>
      </c>
      <c r="B278">
        <v>41923</v>
      </c>
      <c r="C278">
        <v>11</v>
      </c>
      <c r="D278" t="s">
        <v>113</v>
      </c>
      <c r="E278" t="s">
        <v>114</v>
      </c>
      <c r="F278" t="s">
        <v>115</v>
      </c>
      <c r="G278" t="s">
        <v>116</v>
      </c>
      <c r="H278">
        <v>99999</v>
      </c>
      <c r="I278" t="s">
        <v>30</v>
      </c>
      <c r="J278" t="s">
        <v>94</v>
      </c>
      <c r="K278" t="s">
        <v>95</v>
      </c>
      <c r="M278" t="s">
        <v>62</v>
      </c>
      <c r="N278" t="s">
        <v>117</v>
      </c>
      <c r="O278" t="s">
        <v>114</v>
      </c>
      <c r="P278" t="s">
        <v>115</v>
      </c>
      <c r="Q278" t="s">
        <v>116</v>
      </c>
      <c r="R278">
        <v>99999</v>
      </c>
      <c r="S278" t="s">
        <v>30</v>
      </c>
      <c r="U278" t="s">
        <v>88</v>
      </c>
      <c r="V278" t="s">
        <v>89</v>
      </c>
      <c r="W278">
        <v>40</v>
      </c>
      <c r="X278">
        <v>60</v>
      </c>
      <c r="Y278">
        <v>2400</v>
      </c>
      <c r="Z278">
        <v>228</v>
      </c>
    </row>
    <row r="279" spans="1:26" x14ac:dyDescent="0.35">
      <c r="A279">
        <v>1324</v>
      </c>
      <c r="B279">
        <v>41913</v>
      </c>
      <c r="C279">
        <v>1</v>
      </c>
      <c r="D279" t="s">
        <v>118</v>
      </c>
      <c r="E279" t="s">
        <v>119</v>
      </c>
      <c r="F279" t="s">
        <v>120</v>
      </c>
      <c r="G279" t="s">
        <v>121</v>
      </c>
      <c r="H279">
        <v>99999</v>
      </c>
      <c r="I279" t="s">
        <v>30</v>
      </c>
      <c r="J279" t="s">
        <v>60</v>
      </c>
      <c r="K279" t="s">
        <v>61</v>
      </c>
      <c r="M279" t="s">
        <v>62</v>
      </c>
      <c r="N279" t="s">
        <v>122</v>
      </c>
      <c r="O279" t="s">
        <v>119</v>
      </c>
      <c r="P279" t="s">
        <v>120</v>
      </c>
      <c r="Q279" t="s">
        <v>121</v>
      </c>
      <c r="R279">
        <v>99999</v>
      </c>
      <c r="S279" t="s">
        <v>30</v>
      </c>
      <c r="U279" t="s">
        <v>123</v>
      </c>
      <c r="V279" t="s">
        <v>124</v>
      </c>
      <c r="W279">
        <v>18.399999999999999</v>
      </c>
      <c r="X279">
        <v>23</v>
      </c>
      <c r="Y279">
        <v>423.2</v>
      </c>
      <c r="Z279">
        <v>43.589600000000004</v>
      </c>
    </row>
    <row r="280" spans="1:26" x14ac:dyDescent="0.35">
      <c r="A280">
        <v>1325</v>
      </c>
      <c r="B280">
        <v>41940</v>
      </c>
      <c r="C280">
        <v>28</v>
      </c>
      <c r="D280" t="s">
        <v>90</v>
      </c>
      <c r="E280" t="s">
        <v>91</v>
      </c>
      <c r="F280" t="s">
        <v>92</v>
      </c>
      <c r="G280" t="s">
        <v>93</v>
      </c>
      <c r="H280">
        <v>99999</v>
      </c>
      <c r="I280" t="s">
        <v>30</v>
      </c>
      <c r="J280" t="s">
        <v>94</v>
      </c>
      <c r="K280" t="s">
        <v>95</v>
      </c>
      <c r="L280">
        <v>41942</v>
      </c>
      <c r="M280" t="s">
        <v>62</v>
      </c>
      <c r="N280" t="s">
        <v>96</v>
      </c>
      <c r="O280" t="s">
        <v>91</v>
      </c>
      <c r="P280" t="s">
        <v>92</v>
      </c>
      <c r="Q280" t="s">
        <v>93</v>
      </c>
      <c r="R280">
        <v>99999</v>
      </c>
      <c r="S280" t="s">
        <v>30</v>
      </c>
      <c r="T280" t="s">
        <v>48</v>
      </c>
      <c r="U280" t="s">
        <v>55</v>
      </c>
      <c r="V280" t="s">
        <v>37</v>
      </c>
      <c r="W280">
        <v>46</v>
      </c>
      <c r="X280">
        <v>34</v>
      </c>
      <c r="Y280">
        <v>1564</v>
      </c>
      <c r="Z280">
        <v>157.964</v>
      </c>
    </row>
    <row r="281" spans="1:26" x14ac:dyDescent="0.35">
      <c r="A281">
        <v>1326</v>
      </c>
      <c r="B281">
        <v>41921</v>
      </c>
      <c r="C281">
        <v>9</v>
      </c>
      <c r="D281" t="s">
        <v>125</v>
      </c>
      <c r="E281" t="s">
        <v>126</v>
      </c>
      <c r="F281" t="s">
        <v>127</v>
      </c>
      <c r="G281" t="s">
        <v>128</v>
      </c>
      <c r="H281">
        <v>99999</v>
      </c>
      <c r="I281" t="s">
        <v>30</v>
      </c>
      <c r="J281" t="s">
        <v>129</v>
      </c>
      <c r="K281" t="s">
        <v>32</v>
      </c>
      <c r="L281">
        <v>41923</v>
      </c>
      <c r="M281" t="s">
        <v>46</v>
      </c>
      <c r="N281" t="s">
        <v>130</v>
      </c>
      <c r="O281" t="s">
        <v>126</v>
      </c>
      <c r="P281" t="s">
        <v>127</v>
      </c>
      <c r="Q281" t="s">
        <v>128</v>
      </c>
      <c r="R281">
        <v>99999</v>
      </c>
      <c r="S281" t="s">
        <v>30</v>
      </c>
      <c r="T281" t="s">
        <v>35</v>
      </c>
      <c r="U281" t="s">
        <v>80</v>
      </c>
      <c r="V281" t="s">
        <v>81</v>
      </c>
      <c r="W281">
        <v>9.65</v>
      </c>
      <c r="X281">
        <v>89</v>
      </c>
      <c r="Y281">
        <v>858.85</v>
      </c>
      <c r="Z281">
        <v>86.743850000000009</v>
      </c>
    </row>
    <row r="282" spans="1:26" x14ac:dyDescent="0.35">
      <c r="A282">
        <v>1327</v>
      </c>
      <c r="B282">
        <v>41918</v>
      </c>
      <c r="C282">
        <v>6</v>
      </c>
      <c r="D282" t="s">
        <v>82</v>
      </c>
      <c r="E282" t="s">
        <v>83</v>
      </c>
      <c r="F282" t="s">
        <v>84</v>
      </c>
      <c r="G282" t="s">
        <v>85</v>
      </c>
      <c r="H282">
        <v>99999</v>
      </c>
      <c r="I282" t="s">
        <v>30</v>
      </c>
      <c r="J282" t="s">
        <v>86</v>
      </c>
      <c r="K282" t="s">
        <v>61</v>
      </c>
      <c r="L282">
        <v>41920</v>
      </c>
      <c r="M282" t="s">
        <v>33</v>
      </c>
      <c r="N282" t="s">
        <v>87</v>
      </c>
      <c r="O282" t="s">
        <v>83</v>
      </c>
      <c r="P282" t="s">
        <v>84</v>
      </c>
      <c r="Q282" t="s">
        <v>85</v>
      </c>
      <c r="R282">
        <v>99999</v>
      </c>
      <c r="S282" t="s">
        <v>30</v>
      </c>
      <c r="T282" t="s">
        <v>48</v>
      </c>
      <c r="U282" t="s">
        <v>72</v>
      </c>
      <c r="V282" t="s">
        <v>73</v>
      </c>
      <c r="W282">
        <v>12.75</v>
      </c>
      <c r="X282">
        <v>82</v>
      </c>
      <c r="Y282">
        <v>1045.5</v>
      </c>
      <c r="Z282">
        <v>103.50450000000001</v>
      </c>
    </row>
    <row r="283" spans="1:26" x14ac:dyDescent="0.35">
      <c r="A283">
        <v>1328</v>
      </c>
      <c r="B283">
        <v>41920</v>
      </c>
      <c r="C283">
        <v>8</v>
      </c>
      <c r="D283" t="s">
        <v>56</v>
      </c>
      <c r="E283" t="s">
        <v>57</v>
      </c>
      <c r="F283" t="s">
        <v>58</v>
      </c>
      <c r="G283" t="s">
        <v>59</v>
      </c>
      <c r="H283">
        <v>99999</v>
      </c>
      <c r="I283" t="s">
        <v>30</v>
      </c>
      <c r="J283" t="s">
        <v>60</v>
      </c>
      <c r="K283" t="s">
        <v>61</v>
      </c>
      <c r="L283">
        <v>41922</v>
      </c>
      <c r="M283" t="s">
        <v>33</v>
      </c>
      <c r="N283" t="s">
        <v>63</v>
      </c>
      <c r="O283" t="s">
        <v>57</v>
      </c>
      <c r="P283" t="s">
        <v>58</v>
      </c>
      <c r="Q283" t="s">
        <v>59</v>
      </c>
      <c r="R283">
        <v>99999</v>
      </c>
      <c r="S283" t="s">
        <v>30</v>
      </c>
      <c r="T283" t="s">
        <v>35</v>
      </c>
      <c r="U283" t="s">
        <v>72</v>
      </c>
      <c r="V283" t="s">
        <v>73</v>
      </c>
      <c r="W283">
        <v>12.75</v>
      </c>
      <c r="X283">
        <v>43</v>
      </c>
      <c r="Y283">
        <v>548.25</v>
      </c>
      <c r="Z283">
        <v>52.631999999999998</v>
      </c>
    </row>
    <row r="284" spans="1:26" x14ac:dyDescent="0.35">
      <c r="A284">
        <v>1329</v>
      </c>
      <c r="B284">
        <v>41953</v>
      </c>
      <c r="C284">
        <v>10</v>
      </c>
      <c r="D284" t="s">
        <v>97</v>
      </c>
      <c r="E284" t="s">
        <v>98</v>
      </c>
      <c r="F284" t="s">
        <v>99</v>
      </c>
      <c r="G284" t="s">
        <v>100</v>
      </c>
      <c r="H284">
        <v>99999</v>
      </c>
      <c r="I284" t="s">
        <v>30</v>
      </c>
      <c r="J284" t="s">
        <v>101</v>
      </c>
      <c r="K284" t="s">
        <v>45</v>
      </c>
      <c r="L284">
        <v>41955</v>
      </c>
      <c r="M284" t="s">
        <v>46</v>
      </c>
      <c r="N284" t="s">
        <v>102</v>
      </c>
      <c r="O284" t="s">
        <v>98</v>
      </c>
      <c r="P284" t="s">
        <v>99</v>
      </c>
      <c r="Q284" t="s">
        <v>100</v>
      </c>
      <c r="R284">
        <v>99999</v>
      </c>
      <c r="S284" t="s">
        <v>30</v>
      </c>
      <c r="U284" t="s">
        <v>111</v>
      </c>
      <c r="V284" t="s">
        <v>112</v>
      </c>
      <c r="W284">
        <v>22</v>
      </c>
      <c r="X284">
        <v>96</v>
      </c>
      <c r="Y284">
        <v>2112</v>
      </c>
      <c r="Z284">
        <v>221.76000000000002</v>
      </c>
    </row>
    <row r="285" spans="1:26" x14ac:dyDescent="0.35">
      <c r="A285">
        <v>1330</v>
      </c>
      <c r="B285">
        <v>41953</v>
      </c>
      <c r="C285">
        <v>10</v>
      </c>
      <c r="D285" t="s">
        <v>97</v>
      </c>
      <c r="E285" t="s">
        <v>98</v>
      </c>
      <c r="F285" t="s">
        <v>99</v>
      </c>
      <c r="G285" t="s">
        <v>100</v>
      </c>
      <c r="H285">
        <v>99999</v>
      </c>
      <c r="I285" t="s">
        <v>30</v>
      </c>
      <c r="J285" t="s">
        <v>101</v>
      </c>
      <c r="K285" t="s">
        <v>45</v>
      </c>
      <c r="L285">
        <v>41955</v>
      </c>
      <c r="M285" t="s">
        <v>46</v>
      </c>
      <c r="N285" t="s">
        <v>102</v>
      </c>
      <c r="O285" t="s">
        <v>98</v>
      </c>
      <c r="P285" t="s">
        <v>99</v>
      </c>
      <c r="Q285" t="s">
        <v>100</v>
      </c>
      <c r="R285">
        <v>99999</v>
      </c>
      <c r="S285" t="s">
        <v>30</v>
      </c>
      <c r="U285" t="s">
        <v>64</v>
      </c>
      <c r="V285" t="s">
        <v>65</v>
      </c>
      <c r="W285">
        <v>9.1999999999999993</v>
      </c>
      <c r="X285">
        <v>34</v>
      </c>
      <c r="Y285">
        <v>312.79999999999995</v>
      </c>
      <c r="Z285">
        <v>31.279999999999998</v>
      </c>
    </row>
    <row r="286" spans="1:26" x14ac:dyDescent="0.35">
      <c r="A286">
        <v>1331</v>
      </c>
      <c r="B286">
        <v>41954</v>
      </c>
      <c r="C286">
        <v>11</v>
      </c>
      <c r="D286" t="s">
        <v>113</v>
      </c>
      <c r="E286" t="s">
        <v>114</v>
      </c>
      <c r="F286" t="s">
        <v>115</v>
      </c>
      <c r="G286" t="s">
        <v>116</v>
      </c>
      <c r="H286">
        <v>99999</v>
      </c>
      <c r="I286" t="s">
        <v>30</v>
      </c>
      <c r="J286" t="s">
        <v>94</v>
      </c>
      <c r="K286" t="s">
        <v>95</v>
      </c>
      <c r="M286" t="s">
        <v>62</v>
      </c>
      <c r="N286" t="s">
        <v>117</v>
      </c>
      <c r="O286" t="s">
        <v>114</v>
      </c>
      <c r="P286" t="s">
        <v>115</v>
      </c>
      <c r="Q286" t="s">
        <v>116</v>
      </c>
      <c r="R286">
        <v>99999</v>
      </c>
      <c r="S286" t="s">
        <v>30</v>
      </c>
      <c r="U286" t="s">
        <v>38</v>
      </c>
      <c r="V286" t="s">
        <v>39</v>
      </c>
      <c r="W286">
        <v>3.5</v>
      </c>
      <c r="X286">
        <v>42</v>
      </c>
      <c r="Y286">
        <v>147</v>
      </c>
      <c r="Z286">
        <v>15.141000000000002</v>
      </c>
    </row>
    <row r="287" spans="1:26" x14ac:dyDescent="0.35">
      <c r="A287">
        <v>1332</v>
      </c>
      <c r="B287">
        <v>41954</v>
      </c>
      <c r="C287">
        <v>11</v>
      </c>
      <c r="D287" t="s">
        <v>113</v>
      </c>
      <c r="E287" t="s">
        <v>114</v>
      </c>
      <c r="F287" t="s">
        <v>115</v>
      </c>
      <c r="G287" t="s">
        <v>116</v>
      </c>
      <c r="H287">
        <v>99999</v>
      </c>
      <c r="I287" t="s">
        <v>30</v>
      </c>
      <c r="J287" t="s">
        <v>94</v>
      </c>
      <c r="K287" t="s">
        <v>95</v>
      </c>
      <c r="M287" t="s">
        <v>62</v>
      </c>
      <c r="N287" t="s">
        <v>117</v>
      </c>
      <c r="O287" t="s">
        <v>114</v>
      </c>
      <c r="P287" t="s">
        <v>115</v>
      </c>
      <c r="Q287" t="s">
        <v>116</v>
      </c>
      <c r="R287">
        <v>99999</v>
      </c>
      <c r="S287" t="s">
        <v>30</v>
      </c>
      <c r="U287" t="s">
        <v>103</v>
      </c>
      <c r="V287" t="s">
        <v>37</v>
      </c>
      <c r="W287">
        <v>2.99</v>
      </c>
      <c r="X287">
        <v>100</v>
      </c>
      <c r="Y287">
        <v>299</v>
      </c>
      <c r="Z287">
        <v>30.498000000000001</v>
      </c>
    </row>
    <row r="288" spans="1:26" x14ac:dyDescent="0.35">
      <c r="A288">
        <v>1333</v>
      </c>
      <c r="B288">
        <v>41944</v>
      </c>
      <c r="C288">
        <v>1</v>
      </c>
      <c r="D288" t="s">
        <v>118</v>
      </c>
      <c r="E288" t="s">
        <v>119</v>
      </c>
      <c r="F288" t="s">
        <v>120</v>
      </c>
      <c r="G288" t="s">
        <v>121</v>
      </c>
      <c r="H288">
        <v>99999</v>
      </c>
      <c r="I288" t="s">
        <v>30</v>
      </c>
      <c r="J288" t="s">
        <v>60</v>
      </c>
      <c r="K288" t="s">
        <v>61</v>
      </c>
      <c r="N288" t="s">
        <v>122</v>
      </c>
      <c r="O288" t="s">
        <v>119</v>
      </c>
      <c r="P288" t="s">
        <v>120</v>
      </c>
      <c r="Q288" t="s">
        <v>121</v>
      </c>
      <c r="R288">
        <v>99999</v>
      </c>
      <c r="S288" t="s">
        <v>30</v>
      </c>
      <c r="U288" t="s">
        <v>54</v>
      </c>
      <c r="V288" t="s">
        <v>37</v>
      </c>
      <c r="W288">
        <v>18</v>
      </c>
      <c r="X288">
        <v>42</v>
      </c>
      <c r="Y288">
        <v>756</v>
      </c>
      <c r="Z288">
        <v>76.356000000000009</v>
      </c>
    </row>
    <row r="289" spans="1:26" x14ac:dyDescent="0.35">
      <c r="A289">
        <v>1334</v>
      </c>
      <c r="B289">
        <v>41944</v>
      </c>
      <c r="C289">
        <v>1</v>
      </c>
      <c r="D289" t="s">
        <v>118</v>
      </c>
      <c r="E289" t="s">
        <v>119</v>
      </c>
      <c r="F289" t="s">
        <v>120</v>
      </c>
      <c r="G289" t="s">
        <v>121</v>
      </c>
      <c r="H289">
        <v>99999</v>
      </c>
      <c r="I289" t="s">
        <v>30</v>
      </c>
      <c r="J289" t="s">
        <v>60</v>
      </c>
      <c r="K289" t="s">
        <v>61</v>
      </c>
      <c r="N289" t="s">
        <v>122</v>
      </c>
      <c r="O289" t="s">
        <v>119</v>
      </c>
      <c r="P289" t="s">
        <v>120</v>
      </c>
      <c r="Q289" t="s">
        <v>121</v>
      </c>
      <c r="R289">
        <v>99999</v>
      </c>
      <c r="S289" t="s">
        <v>30</v>
      </c>
      <c r="U289" t="s">
        <v>55</v>
      </c>
      <c r="V289" t="s">
        <v>37</v>
      </c>
      <c r="W289">
        <v>46</v>
      </c>
      <c r="X289">
        <v>16</v>
      </c>
      <c r="Y289">
        <v>736</v>
      </c>
      <c r="Z289">
        <v>70.656000000000006</v>
      </c>
    </row>
    <row r="290" spans="1:26" x14ac:dyDescent="0.35">
      <c r="A290">
        <v>1335</v>
      </c>
      <c r="B290">
        <v>41944</v>
      </c>
      <c r="C290">
        <v>1</v>
      </c>
      <c r="D290" t="s">
        <v>118</v>
      </c>
      <c r="E290" t="s">
        <v>119</v>
      </c>
      <c r="F290" t="s">
        <v>120</v>
      </c>
      <c r="G290" t="s">
        <v>121</v>
      </c>
      <c r="H290">
        <v>99999</v>
      </c>
      <c r="I290" t="s">
        <v>30</v>
      </c>
      <c r="J290" t="s">
        <v>60</v>
      </c>
      <c r="K290" t="s">
        <v>61</v>
      </c>
      <c r="N290" t="s">
        <v>122</v>
      </c>
      <c r="O290" t="s">
        <v>119</v>
      </c>
      <c r="P290" t="s">
        <v>120</v>
      </c>
      <c r="Q290" t="s">
        <v>121</v>
      </c>
      <c r="R290">
        <v>99999</v>
      </c>
      <c r="S290" t="s">
        <v>30</v>
      </c>
      <c r="U290" t="s">
        <v>103</v>
      </c>
      <c r="V290" t="s">
        <v>37</v>
      </c>
      <c r="W290">
        <v>2.99</v>
      </c>
      <c r="X290">
        <v>22</v>
      </c>
      <c r="Y290">
        <v>65.78</v>
      </c>
      <c r="Z290">
        <v>6.3806599999999998</v>
      </c>
    </row>
    <row r="291" spans="1:26" x14ac:dyDescent="0.35">
      <c r="A291">
        <v>1336</v>
      </c>
      <c r="B291">
        <v>41971</v>
      </c>
      <c r="C291">
        <v>28</v>
      </c>
      <c r="D291" t="s">
        <v>90</v>
      </c>
      <c r="E291" t="s">
        <v>91</v>
      </c>
      <c r="F291" t="s">
        <v>92</v>
      </c>
      <c r="G291" t="s">
        <v>93</v>
      </c>
      <c r="H291">
        <v>99999</v>
      </c>
      <c r="I291" t="s">
        <v>30</v>
      </c>
      <c r="J291" t="s">
        <v>94</v>
      </c>
      <c r="K291" t="s">
        <v>95</v>
      </c>
      <c r="L291">
        <v>41973</v>
      </c>
      <c r="M291" t="s">
        <v>62</v>
      </c>
      <c r="N291" t="s">
        <v>96</v>
      </c>
      <c r="O291" t="s">
        <v>91</v>
      </c>
      <c r="P291" t="s">
        <v>92</v>
      </c>
      <c r="Q291" t="s">
        <v>93</v>
      </c>
      <c r="R291">
        <v>99999</v>
      </c>
      <c r="S291" t="s">
        <v>30</v>
      </c>
      <c r="T291" t="s">
        <v>48</v>
      </c>
      <c r="U291" t="s">
        <v>80</v>
      </c>
      <c r="V291" t="s">
        <v>81</v>
      </c>
      <c r="W291">
        <v>9.65</v>
      </c>
      <c r="X291">
        <v>46</v>
      </c>
      <c r="Y291">
        <v>443.90000000000003</v>
      </c>
      <c r="Z291">
        <v>45.721700000000006</v>
      </c>
    </row>
    <row r="292" spans="1:26" x14ac:dyDescent="0.35">
      <c r="A292">
        <v>1337</v>
      </c>
      <c r="B292">
        <v>41971</v>
      </c>
      <c r="C292">
        <v>28</v>
      </c>
      <c r="D292" t="s">
        <v>90</v>
      </c>
      <c r="E292" t="s">
        <v>91</v>
      </c>
      <c r="F292" t="s">
        <v>92</v>
      </c>
      <c r="G292" t="s">
        <v>93</v>
      </c>
      <c r="H292">
        <v>99999</v>
      </c>
      <c r="I292" t="s">
        <v>30</v>
      </c>
      <c r="J292" t="s">
        <v>94</v>
      </c>
      <c r="K292" t="s">
        <v>95</v>
      </c>
      <c r="L292">
        <v>41973</v>
      </c>
      <c r="M292" t="s">
        <v>62</v>
      </c>
      <c r="N292" t="s">
        <v>96</v>
      </c>
      <c r="O292" t="s">
        <v>91</v>
      </c>
      <c r="P292" t="s">
        <v>92</v>
      </c>
      <c r="Q292" t="s">
        <v>93</v>
      </c>
      <c r="R292">
        <v>99999</v>
      </c>
      <c r="S292" t="s">
        <v>30</v>
      </c>
      <c r="T292" t="s">
        <v>48</v>
      </c>
      <c r="U292" t="s">
        <v>123</v>
      </c>
      <c r="V292" t="s">
        <v>124</v>
      </c>
      <c r="W292">
        <v>18.399999999999999</v>
      </c>
      <c r="X292">
        <v>100</v>
      </c>
      <c r="Y292">
        <v>1839.9999999999998</v>
      </c>
      <c r="Z292">
        <v>184</v>
      </c>
    </row>
    <row r="293" spans="1:26" x14ac:dyDescent="0.35">
      <c r="A293">
        <v>1338</v>
      </c>
      <c r="B293">
        <v>41952</v>
      </c>
      <c r="C293">
        <v>9</v>
      </c>
      <c r="D293" t="s">
        <v>125</v>
      </c>
      <c r="E293" t="s">
        <v>126</v>
      </c>
      <c r="F293" t="s">
        <v>127</v>
      </c>
      <c r="G293" t="s">
        <v>128</v>
      </c>
      <c r="H293">
        <v>99999</v>
      </c>
      <c r="I293" t="s">
        <v>30</v>
      </c>
      <c r="J293" t="s">
        <v>129</v>
      </c>
      <c r="K293" t="s">
        <v>32</v>
      </c>
      <c r="L293">
        <v>41954</v>
      </c>
      <c r="M293" t="s">
        <v>46</v>
      </c>
      <c r="N293" t="s">
        <v>130</v>
      </c>
      <c r="O293" t="s">
        <v>126</v>
      </c>
      <c r="P293" t="s">
        <v>127</v>
      </c>
      <c r="Q293" t="s">
        <v>128</v>
      </c>
      <c r="R293">
        <v>99999</v>
      </c>
      <c r="S293" t="s">
        <v>30</v>
      </c>
      <c r="T293" t="s">
        <v>35</v>
      </c>
      <c r="U293" t="s">
        <v>131</v>
      </c>
      <c r="V293" t="s">
        <v>132</v>
      </c>
      <c r="W293">
        <v>19.5</v>
      </c>
      <c r="X293">
        <v>87</v>
      </c>
      <c r="Y293">
        <v>1696.5</v>
      </c>
      <c r="Z293">
        <v>174.73950000000002</v>
      </c>
    </row>
    <row r="294" spans="1:26" x14ac:dyDescent="0.35">
      <c r="A294">
        <v>1339</v>
      </c>
      <c r="B294">
        <v>41952</v>
      </c>
      <c r="C294">
        <v>9</v>
      </c>
      <c r="D294" t="s">
        <v>125</v>
      </c>
      <c r="E294" t="s">
        <v>126</v>
      </c>
      <c r="F294" t="s">
        <v>127</v>
      </c>
      <c r="G294" t="s">
        <v>128</v>
      </c>
      <c r="H294">
        <v>99999</v>
      </c>
      <c r="I294" t="s">
        <v>30</v>
      </c>
      <c r="J294" t="s">
        <v>129</v>
      </c>
      <c r="K294" t="s">
        <v>32</v>
      </c>
      <c r="L294">
        <v>41954</v>
      </c>
      <c r="M294" t="s">
        <v>46</v>
      </c>
      <c r="N294" t="s">
        <v>130</v>
      </c>
      <c r="O294" t="s">
        <v>126</v>
      </c>
      <c r="P294" t="s">
        <v>127</v>
      </c>
      <c r="Q294" t="s">
        <v>128</v>
      </c>
      <c r="R294">
        <v>99999</v>
      </c>
      <c r="S294" t="s">
        <v>30</v>
      </c>
      <c r="T294" t="s">
        <v>35</v>
      </c>
      <c r="U294" t="s">
        <v>133</v>
      </c>
      <c r="V294" t="s">
        <v>134</v>
      </c>
      <c r="W294">
        <v>34.799999999999997</v>
      </c>
      <c r="X294">
        <v>58</v>
      </c>
      <c r="Y294">
        <v>2018.3999999999999</v>
      </c>
      <c r="Z294">
        <v>205.8768</v>
      </c>
    </row>
    <row r="295" spans="1:26" x14ac:dyDescent="0.35">
      <c r="A295">
        <v>1340</v>
      </c>
      <c r="B295">
        <v>41949</v>
      </c>
      <c r="C295">
        <v>6</v>
      </c>
      <c r="D295" t="s">
        <v>82</v>
      </c>
      <c r="E295" t="s">
        <v>83</v>
      </c>
      <c r="F295" t="s">
        <v>84</v>
      </c>
      <c r="G295" t="s">
        <v>85</v>
      </c>
      <c r="H295">
        <v>99999</v>
      </c>
      <c r="I295" t="s">
        <v>30</v>
      </c>
      <c r="J295" t="s">
        <v>86</v>
      </c>
      <c r="K295" t="s">
        <v>61</v>
      </c>
      <c r="L295">
        <v>41951</v>
      </c>
      <c r="M295" t="s">
        <v>33</v>
      </c>
      <c r="N295" t="s">
        <v>87</v>
      </c>
      <c r="O295" t="s">
        <v>83</v>
      </c>
      <c r="P295" t="s">
        <v>84</v>
      </c>
      <c r="Q295" t="s">
        <v>85</v>
      </c>
      <c r="R295">
        <v>99999</v>
      </c>
      <c r="S295" t="s">
        <v>30</v>
      </c>
      <c r="T295" t="s">
        <v>48</v>
      </c>
      <c r="U295" t="s">
        <v>36</v>
      </c>
      <c r="V295" t="s">
        <v>37</v>
      </c>
      <c r="W295">
        <v>14</v>
      </c>
      <c r="X295">
        <v>85</v>
      </c>
      <c r="Y295">
        <v>1190</v>
      </c>
      <c r="Z295">
        <v>120.19</v>
      </c>
    </row>
    <row r="296" spans="1:26" x14ac:dyDescent="0.35">
      <c r="A296">
        <v>1341</v>
      </c>
      <c r="B296">
        <v>41951</v>
      </c>
      <c r="C296">
        <v>8</v>
      </c>
      <c r="D296" t="s">
        <v>56</v>
      </c>
      <c r="E296" t="s">
        <v>57</v>
      </c>
      <c r="F296" t="s">
        <v>58</v>
      </c>
      <c r="G296" t="s">
        <v>59</v>
      </c>
      <c r="H296">
        <v>99999</v>
      </c>
      <c r="I296" t="s">
        <v>30</v>
      </c>
      <c r="J296" t="s">
        <v>60</v>
      </c>
      <c r="K296" t="s">
        <v>61</v>
      </c>
      <c r="L296">
        <v>41953</v>
      </c>
      <c r="M296" t="s">
        <v>33</v>
      </c>
      <c r="N296" t="s">
        <v>63</v>
      </c>
      <c r="O296" t="s">
        <v>57</v>
      </c>
      <c r="P296" t="s">
        <v>58</v>
      </c>
      <c r="Q296" t="s">
        <v>59</v>
      </c>
      <c r="R296">
        <v>99999</v>
      </c>
      <c r="S296" t="s">
        <v>30</v>
      </c>
      <c r="T296" t="s">
        <v>35</v>
      </c>
      <c r="U296" t="s">
        <v>88</v>
      </c>
      <c r="V296" t="s">
        <v>89</v>
      </c>
      <c r="W296">
        <v>40</v>
      </c>
      <c r="X296">
        <v>28</v>
      </c>
      <c r="Y296">
        <v>1120</v>
      </c>
      <c r="Z296">
        <v>110.88</v>
      </c>
    </row>
    <row r="297" spans="1:26" x14ac:dyDescent="0.35">
      <c r="A297">
        <v>1342</v>
      </c>
      <c r="B297">
        <v>41951</v>
      </c>
      <c r="C297">
        <v>8</v>
      </c>
      <c r="D297" t="s">
        <v>56</v>
      </c>
      <c r="E297" t="s">
        <v>57</v>
      </c>
      <c r="F297" t="s">
        <v>58</v>
      </c>
      <c r="G297" t="s">
        <v>59</v>
      </c>
      <c r="H297">
        <v>99999</v>
      </c>
      <c r="I297" t="s">
        <v>30</v>
      </c>
      <c r="J297" t="s">
        <v>60</v>
      </c>
      <c r="K297" t="s">
        <v>61</v>
      </c>
      <c r="L297">
        <v>41953</v>
      </c>
      <c r="M297" t="s">
        <v>33</v>
      </c>
      <c r="N297" t="s">
        <v>63</v>
      </c>
      <c r="O297" t="s">
        <v>57</v>
      </c>
      <c r="P297" t="s">
        <v>58</v>
      </c>
      <c r="Q297" t="s">
        <v>59</v>
      </c>
      <c r="R297">
        <v>99999</v>
      </c>
      <c r="S297" t="s">
        <v>30</v>
      </c>
      <c r="T297" t="s">
        <v>35</v>
      </c>
      <c r="U297" t="s">
        <v>64</v>
      </c>
      <c r="V297" t="s">
        <v>65</v>
      </c>
      <c r="W297">
        <v>9.1999999999999993</v>
      </c>
      <c r="X297">
        <v>19</v>
      </c>
      <c r="Y297">
        <v>174.79999999999998</v>
      </c>
      <c r="Z297">
        <v>17.130400000000002</v>
      </c>
    </row>
    <row r="298" spans="1:26" x14ac:dyDescent="0.35">
      <c r="A298">
        <v>1343</v>
      </c>
      <c r="B298">
        <v>41968</v>
      </c>
      <c r="C298">
        <v>25</v>
      </c>
      <c r="D298" t="s">
        <v>137</v>
      </c>
      <c r="E298" t="s">
        <v>138</v>
      </c>
      <c r="F298" t="s">
        <v>99</v>
      </c>
      <c r="G298" t="s">
        <v>100</v>
      </c>
      <c r="H298">
        <v>99999</v>
      </c>
      <c r="I298" t="s">
        <v>30</v>
      </c>
      <c r="J298" t="s">
        <v>101</v>
      </c>
      <c r="K298" t="s">
        <v>45</v>
      </c>
      <c r="L298">
        <v>41970</v>
      </c>
      <c r="M298" t="s">
        <v>46</v>
      </c>
      <c r="N298" t="s">
        <v>139</v>
      </c>
      <c r="O298" t="s">
        <v>138</v>
      </c>
      <c r="P298" t="s">
        <v>99</v>
      </c>
      <c r="Q298" t="s">
        <v>100</v>
      </c>
      <c r="R298">
        <v>99999</v>
      </c>
      <c r="S298" t="s">
        <v>30</v>
      </c>
      <c r="T298" t="s">
        <v>79</v>
      </c>
      <c r="U298" t="s">
        <v>146</v>
      </c>
      <c r="V298" t="s">
        <v>65</v>
      </c>
      <c r="W298">
        <v>10</v>
      </c>
      <c r="X298">
        <v>99</v>
      </c>
      <c r="Y298">
        <v>990</v>
      </c>
      <c r="Z298">
        <v>102.96000000000001</v>
      </c>
    </row>
    <row r="299" spans="1:26" x14ac:dyDescent="0.35">
      <c r="A299">
        <v>1344</v>
      </c>
      <c r="B299">
        <v>41969</v>
      </c>
      <c r="C299">
        <v>26</v>
      </c>
      <c r="D299" t="s">
        <v>140</v>
      </c>
      <c r="E299" t="s">
        <v>141</v>
      </c>
      <c r="F299" t="s">
        <v>115</v>
      </c>
      <c r="G299" t="s">
        <v>116</v>
      </c>
      <c r="H299">
        <v>99999</v>
      </c>
      <c r="I299" t="s">
        <v>30</v>
      </c>
      <c r="J299" t="s">
        <v>94</v>
      </c>
      <c r="K299" t="s">
        <v>95</v>
      </c>
      <c r="L299">
        <v>41971</v>
      </c>
      <c r="M299" t="s">
        <v>62</v>
      </c>
      <c r="N299" t="s">
        <v>142</v>
      </c>
      <c r="O299" t="s">
        <v>141</v>
      </c>
      <c r="P299" t="s">
        <v>115</v>
      </c>
      <c r="Q299" t="s">
        <v>116</v>
      </c>
      <c r="R299">
        <v>99999</v>
      </c>
      <c r="S299" t="s">
        <v>30</v>
      </c>
      <c r="T299" t="s">
        <v>48</v>
      </c>
      <c r="U299" t="s">
        <v>147</v>
      </c>
      <c r="V299" t="s">
        <v>148</v>
      </c>
      <c r="W299">
        <v>21.35</v>
      </c>
      <c r="X299">
        <v>69</v>
      </c>
      <c r="Y299">
        <v>1473.15</v>
      </c>
      <c r="Z299">
        <v>153.20760000000004</v>
      </c>
    </row>
    <row r="300" spans="1:26" x14ac:dyDescent="0.35">
      <c r="A300">
        <v>1345</v>
      </c>
      <c r="B300">
        <v>41969</v>
      </c>
      <c r="C300">
        <v>26</v>
      </c>
      <c r="D300" t="s">
        <v>140</v>
      </c>
      <c r="E300" t="s">
        <v>141</v>
      </c>
      <c r="F300" t="s">
        <v>115</v>
      </c>
      <c r="G300" t="s">
        <v>116</v>
      </c>
      <c r="H300">
        <v>99999</v>
      </c>
      <c r="I300" t="s">
        <v>30</v>
      </c>
      <c r="J300" t="s">
        <v>94</v>
      </c>
      <c r="K300" t="s">
        <v>95</v>
      </c>
      <c r="L300">
        <v>41971</v>
      </c>
      <c r="M300" t="s">
        <v>62</v>
      </c>
      <c r="N300" t="s">
        <v>142</v>
      </c>
      <c r="O300" t="s">
        <v>141</v>
      </c>
      <c r="P300" t="s">
        <v>115</v>
      </c>
      <c r="Q300" t="s">
        <v>116</v>
      </c>
      <c r="R300">
        <v>99999</v>
      </c>
      <c r="S300" t="s">
        <v>30</v>
      </c>
      <c r="T300" t="s">
        <v>48</v>
      </c>
      <c r="U300" t="s">
        <v>80</v>
      </c>
      <c r="V300" t="s">
        <v>81</v>
      </c>
      <c r="W300">
        <v>9.65</v>
      </c>
      <c r="X300">
        <v>37</v>
      </c>
      <c r="Y300">
        <v>357.05</v>
      </c>
      <c r="Z300">
        <v>33.919750000000001</v>
      </c>
    </row>
    <row r="301" spans="1:26" x14ac:dyDescent="0.35">
      <c r="A301">
        <v>1346</v>
      </c>
      <c r="B301">
        <v>41969</v>
      </c>
      <c r="C301">
        <v>26</v>
      </c>
      <c r="D301" t="s">
        <v>140</v>
      </c>
      <c r="E301" t="s">
        <v>141</v>
      </c>
      <c r="F301" t="s">
        <v>115</v>
      </c>
      <c r="G301" t="s">
        <v>116</v>
      </c>
      <c r="H301">
        <v>99999</v>
      </c>
      <c r="I301" t="s">
        <v>30</v>
      </c>
      <c r="J301" t="s">
        <v>94</v>
      </c>
      <c r="K301" t="s">
        <v>95</v>
      </c>
      <c r="L301">
        <v>41971</v>
      </c>
      <c r="M301" t="s">
        <v>62</v>
      </c>
      <c r="N301" t="s">
        <v>142</v>
      </c>
      <c r="O301" t="s">
        <v>141</v>
      </c>
      <c r="P301" t="s">
        <v>115</v>
      </c>
      <c r="Q301" t="s">
        <v>116</v>
      </c>
      <c r="R301">
        <v>99999</v>
      </c>
      <c r="S301" t="s">
        <v>30</v>
      </c>
      <c r="T301" t="s">
        <v>48</v>
      </c>
      <c r="U301" t="s">
        <v>123</v>
      </c>
      <c r="V301" t="s">
        <v>124</v>
      </c>
      <c r="W301">
        <v>18.399999999999999</v>
      </c>
      <c r="X301">
        <v>64</v>
      </c>
      <c r="Y301">
        <v>1177.5999999999999</v>
      </c>
      <c r="Z301">
        <v>118.93759999999999</v>
      </c>
    </row>
    <row r="302" spans="1:26" x14ac:dyDescent="0.35">
      <c r="A302">
        <v>1347</v>
      </c>
      <c r="B302">
        <v>41972</v>
      </c>
      <c r="C302">
        <v>29</v>
      </c>
      <c r="D302" t="s">
        <v>66</v>
      </c>
      <c r="E302" t="s">
        <v>67</v>
      </c>
      <c r="F302" t="s">
        <v>68</v>
      </c>
      <c r="G302" t="s">
        <v>69</v>
      </c>
      <c r="H302">
        <v>99999</v>
      </c>
      <c r="I302" t="s">
        <v>30</v>
      </c>
      <c r="J302" t="s">
        <v>70</v>
      </c>
      <c r="K302" t="s">
        <v>32</v>
      </c>
      <c r="L302">
        <v>41974</v>
      </c>
      <c r="M302" t="s">
        <v>33</v>
      </c>
      <c r="N302" t="s">
        <v>71</v>
      </c>
      <c r="O302" t="s">
        <v>67</v>
      </c>
      <c r="P302" t="s">
        <v>68</v>
      </c>
      <c r="Q302" t="s">
        <v>69</v>
      </c>
      <c r="R302">
        <v>99999</v>
      </c>
      <c r="S302" t="s">
        <v>30</v>
      </c>
      <c r="T302" t="s">
        <v>35</v>
      </c>
      <c r="U302" t="s">
        <v>36</v>
      </c>
      <c r="V302" t="s">
        <v>37</v>
      </c>
      <c r="W302">
        <v>14</v>
      </c>
      <c r="X302">
        <v>38</v>
      </c>
      <c r="Y302">
        <v>532</v>
      </c>
      <c r="Z302">
        <v>55.328000000000003</v>
      </c>
    </row>
    <row r="303" spans="1:26" x14ac:dyDescent="0.35">
      <c r="A303">
        <v>1348</v>
      </c>
      <c r="B303">
        <v>41949</v>
      </c>
      <c r="C303">
        <v>6</v>
      </c>
      <c r="D303" t="s">
        <v>82</v>
      </c>
      <c r="E303" t="s">
        <v>83</v>
      </c>
      <c r="F303" t="s">
        <v>84</v>
      </c>
      <c r="G303" t="s">
        <v>85</v>
      </c>
      <c r="H303">
        <v>99999</v>
      </c>
      <c r="I303" t="s">
        <v>30</v>
      </c>
      <c r="J303" t="s">
        <v>86</v>
      </c>
      <c r="K303" t="s">
        <v>61</v>
      </c>
      <c r="L303">
        <v>41951</v>
      </c>
      <c r="M303" t="s">
        <v>62</v>
      </c>
      <c r="N303" t="s">
        <v>87</v>
      </c>
      <c r="O303" t="s">
        <v>83</v>
      </c>
      <c r="P303" t="s">
        <v>84</v>
      </c>
      <c r="Q303" t="s">
        <v>85</v>
      </c>
      <c r="R303">
        <v>99999</v>
      </c>
      <c r="S303" t="s">
        <v>30</v>
      </c>
      <c r="T303" t="s">
        <v>35</v>
      </c>
      <c r="U303" t="s">
        <v>72</v>
      </c>
      <c r="V303" t="s">
        <v>73</v>
      </c>
      <c r="W303">
        <v>12.75</v>
      </c>
      <c r="X303">
        <v>15</v>
      </c>
      <c r="Y303">
        <v>191.25</v>
      </c>
      <c r="Z303">
        <v>18.55125</v>
      </c>
    </row>
    <row r="304" spans="1:26" x14ac:dyDescent="0.35">
      <c r="A304">
        <v>1350</v>
      </c>
      <c r="B304">
        <v>41947</v>
      </c>
      <c r="C304">
        <v>4</v>
      </c>
      <c r="D304" t="s">
        <v>40</v>
      </c>
      <c r="E304" t="s">
        <v>41</v>
      </c>
      <c r="F304" t="s">
        <v>42</v>
      </c>
      <c r="G304" t="s">
        <v>43</v>
      </c>
      <c r="H304">
        <v>99999</v>
      </c>
      <c r="I304" t="s">
        <v>30</v>
      </c>
      <c r="J304" t="s">
        <v>44</v>
      </c>
      <c r="K304" t="s">
        <v>45</v>
      </c>
      <c r="L304">
        <v>41949</v>
      </c>
      <c r="M304" t="s">
        <v>46</v>
      </c>
      <c r="N304" t="s">
        <v>47</v>
      </c>
      <c r="O304" t="s">
        <v>41</v>
      </c>
      <c r="P304" t="s">
        <v>42</v>
      </c>
      <c r="Q304" t="s">
        <v>43</v>
      </c>
      <c r="R304">
        <v>99999</v>
      </c>
      <c r="S304" t="s">
        <v>30</v>
      </c>
      <c r="T304" t="s">
        <v>48</v>
      </c>
      <c r="U304" t="s">
        <v>149</v>
      </c>
      <c r="V304" t="s">
        <v>110</v>
      </c>
      <c r="W304">
        <v>81</v>
      </c>
      <c r="X304">
        <v>52</v>
      </c>
      <c r="Y304">
        <v>4212</v>
      </c>
      <c r="Z304">
        <v>412.77600000000001</v>
      </c>
    </row>
    <row r="305" spans="1:26" x14ac:dyDescent="0.35">
      <c r="A305">
        <v>1351</v>
      </c>
      <c r="B305">
        <v>41947</v>
      </c>
      <c r="C305">
        <v>4</v>
      </c>
      <c r="D305" t="s">
        <v>40</v>
      </c>
      <c r="E305" t="s">
        <v>41</v>
      </c>
      <c r="F305" t="s">
        <v>42</v>
      </c>
      <c r="G305" t="s">
        <v>43</v>
      </c>
      <c r="H305">
        <v>99999</v>
      </c>
      <c r="I305" t="s">
        <v>30</v>
      </c>
      <c r="J305" t="s">
        <v>44</v>
      </c>
      <c r="K305" t="s">
        <v>45</v>
      </c>
      <c r="L305">
        <v>41949</v>
      </c>
      <c r="M305" t="s">
        <v>46</v>
      </c>
      <c r="N305" t="s">
        <v>47</v>
      </c>
      <c r="O305" t="s">
        <v>41</v>
      </c>
      <c r="P305" t="s">
        <v>42</v>
      </c>
      <c r="Q305" t="s">
        <v>43</v>
      </c>
      <c r="R305">
        <v>99999</v>
      </c>
      <c r="S305" t="s">
        <v>30</v>
      </c>
      <c r="T305" t="s">
        <v>48</v>
      </c>
      <c r="U305" t="s">
        <v>150</v>
      </c>
      <c r="V305" t="s">
        <v>151</v>
      </c>
      <c r="W305">
        <v>7</v>
      </c>
      <c r="X305">
        <v>37</v>
      </c>
      <c r="Y305">
        <v>259</v>
      </c>
      <c r="Z305">
        <v>25.382000000000001</v>
      </c>
    </row>
    <row r="306" spans="1:26" x14ac:dyDescent="0.35">
      <c r="A306">
        <v>1353</v>
      </c>
      <c r="B306">
        <v>41951</v>
      </c>
      <c r="C306">
        <v>8</v>
      </c>
      <c r="D306" t="s">
        <v>56</v>
      </c>
      <c r="E306" t="s">
        <v>57</v>
      </c>
      <c r="F306" t="s">
        <v>58</v>
      </c>
      <c r="G306" t="s">
        <v>59</v>
      </c>
      <c r="H306">
        <v>99999</v>
      </c>
      <c r="I306" t="s">
        <v>30</v>
      </c>
      <c r="J306" t="s">
        <v>60</v>
      </c>
      <c r="K306" t="s">
        <v>61</v>
      </c>
      <c r="L306">
        <v>41953</v>
      </c>
      <c r="M306" t="s">
        <v>62</v>
      </c>
      <c r="N306" t="s">
        <v>63</v>
      </c>
      <c r="O306" t="s">
        <v>57</v>
      </c>
      <c r="P306" t="s">
        <v>58</v>
      </c>
      <c r="Q306" t="s">
        <v>59</v>
      </c>
      <c r="R306">
        <v>99999</v>
      </c>
      <c r="S306" t="s">
        <v>30</v>
      </c>
      <c r="T306" t="s">
        <v>48</v>
      </c>
      <c r="U306" t="s">
        <v>133</v>
      </c>
      <c r="V306" t="s">
        <v>134</v>
      </c>
      <c r="W306">
        <v>34.799999999999997</v>
      </c>
      <c r="X306">
        <v>24</v>
      </c>
      <c r="Y306">
        <v>835.19999999999993</v>
      </c>
      <c r="Z306">
        <v>80.179199999999994</v>
      </c>
    </row>
    <row r="307" spans="1:26" x14ac:dyDescent="0.35">
      <c r="A307">
        <v>1356</v>
      </c>
      <c r="B307">
        <v>41946</v>
      </c>
      <c r="C307">
        <v>3</v>
      </c>
      <c r="D307" t="s">
        <v>74</v>
      </c>
      <c r="E307" t="s">
        <v>75</v>
      </c>
      <c r="F307" t="s">
        <v>76</v>
      </c>
      <c r="G307" t="s">
        <v>77</v>
      </c>
      <c r="H307">
        <v>99999</v>
      </c>
      <c r="I307" t="s">
        <v>30</v>
      </c>
      <c r="J307" t="s">
        <v>31</v>
      </c>
      <c r="K307" t="s">
        <v>32</v>
      </c>
      <c r="L307">
        <v>41948</v>
      </c>
      <c r="M307" t="s">
        <v>33</v>
      </c>
      <c r="N307" t="s">
        <v>78</v>
      </c>
      <c r="O307" t="s">
        <v>75</v>
      </c>
      <c r="P307" t="s">
        <v>76</v>
      </c>
      <c r="Q307" t="s">
        <v>77</v>
      </c>
      <c r="R307">
        <v>99999</v>
      </c>
      <c r="S307" t="s">
        <v>30</v>
      </c>
      <c r="T307" t="s">
        <v>79</v>
      </c>
      <c r="U307" t="s">
        <v>135</v>
      </c>
      <c r="V307" t="s">
        <v>112</v>
      </c>
      <c r="W307">
        <v>10</v>
      </c>
      <c r="X307">
        <v>36</v>
      </c>
      <c r="Y307">
        <v>360</v>
      </c>
      <c r="Z307">
        <v>37.08</v>
      </c>
    </row>
    <row r="308" spans="1:26" x14ac:dyDescent="0.35">
      <c r="A308">
        <v>1357</v>
      </c>
      <c r="B308">
        <v>41946</v>
      </c>
      <c r="C308">
        <v>3</v>
      </c>
      <c r="D308" t="s">
        <v>74</v>
      </c>
      <c r="E308" t="s">
        <v>75</v>
      </c>
      <c r="F308" t="s">
        <v>76</v>
      </c>
      <c r="G308" t="s">
        <v>77</v>
      </c>
      <c r="H308">
        <v>99999</v>
      </c>
      <c r="I308" t="s">
        <v>30</v>
      </c>
      <c r="J308" t="s">
        <v>31</v>
      </c>
      <c r="K308" t="s">
        <v>32</v>
      </c>
      <c r="L308">
        <v>41948</v>
      </c>
      <c r="M308" t="s">
        <v>33</v>
      </c>
      <c r="N308" t="s">
        <v>78</v>
      </c>
      <c r="O308" t="s">
        <v>75</v>
      </c>
      <c r="P308" t="s">
        <v>76</v>
      </c>
      <c r="Q308" t="s">
        <v>77</v>
      </c>
      <c r="R308">
        <v>99999</v>
      </c>
      <c r="S308" t="s">
        <v>30</v>
      </c>
      <c r="T308" t="s">
        <v>79</v>
      </c>
      <c r="U308" t="s">
        <v>88</v>
      </c>
      <c r="V308" t="s">
        <v>89</v>
      </c>
      <c r="W308">
        <v>40</v>
      </c>
      <c r="X308">
        <v>24</v>
      </c>
      <c r="Y308">
        <v>960</v>
      </c>
      <c r="Z308">
        <v>96</v>
      </c>
    </row>
    <row r="309" spans="1:26" x14ac:dyDescent="0.35">
      <c r="A309">
        <v>1361</v>
      </c>
      <c r="B309">
        <v>41953</v>
      </c>
      <c r="C309">
        <v>10</v>
      </c>
      <c r="D309" t="s">
        <v>97</v>
      </c>
      <c r="E309" t="s">
        <v>98</v>
      </c>
      <c r="F309" t="s">
        <v>99</v>
      </c>
      <c r="G309" t="s">
        <v>100</v>
      </c>
      <c r="H309">
        <v>99999</v>
      </c>
      <c r="I309" t="s">
        <v>30</v>
      </c>
      <c r="J309" t="s">
        <v>101</v>
      </c>
      <c r="K309" t="s">
        <v>45</v>
      </c>
      <c r="L309">
        <v>41955</v>
      </c>
      <c r="M309" t="s">
        <v>33</v>
      </c>
      <c r="N309" t="s">
        <v>102</v>
      </c>
      <c r="O309" t="s">
        <v>98</v>
      </c>
      <c r="P309" t="s">
        <v>99</v>
      </c>
      <c r="Q309" t="s">
        <v>100</v>
      </c>
      <c r="R309">
        <v>99999</v>
      </c>
      <c r="S309" t="s">
        <v>30</v>
      </c>
      <c r="T309" t="s">
        <v>48</v>
      </c>
      <c r="U309" t="s">
        <v>136</v>
      </c>
      <c r="V309" t="s">
        <v>39</v>
      </c>
      <c r="W309">
        <v>10</v>
      </c>
      <c r="X309">
        <v>20</v>
      </c>
      <c r="Y309">
        <v>200</v>
      </c>
      <c r="Z309">
        <v>20</v>
      </c>
    </row>
    <row r="310" spans="1:26" x14ac:dyDescent="0.35">
      <c r="A310">
        <v>1363</v>
      </c>
      <c r="B310">
        <v>41953</v>
      </c>
      <c r="C310">
        <v>10</v>
      </c>
      <c r="D310" t="s">
        <v>97</v>
      </c>
      <c r="E310" t="s">
        <v>98</v>
      </c>
      <c r="F310" t="s">
        <v>99</v>
      </c>
      <c r="G310" t="s">
        <v>100</v>
      </c>
      <c r="H310">
        <v>99999</v>
      </c>
      <c r="I310" t="s">
        <v>30</v>
      </c>
      <c r="J310" t="s">
        <v>101</v>
      </c>
      <c r="K310" t="s">
        <v>45</v>
      </c>
      <c r="M310" t="s">
        <v>46</v>
      </c>
      <c r="N310" t="s">
        <v>102</v>
      </c>
      <c r="O310" t="s">
        <v>98</v>
      </c>
      <c r="P310" t="s">
        <v>99</v>
      </c>
      <c r="Q310" t="s">
        <v>100</v>
      </c>
      <c r="R310">
        <v>99999</v>
      </c>
      <c r="S310" t="s">
        <v>30</v>
      </c>
      <c r="U310" t="s">
        <v>38</v>
      </c>
      <c r="V310" t="s">
        <v>39</v>
      </c>
      <c r="W310">
        <v>3.5</v>
      </c>
      <c r="X310">
        <v>11</v>
      </c>
      <c r="Y310">
        <v>38.5</v>
      </c>
      <c r="Z310">
        <v>3.7345000000000002</v>
      </c>
    </row>
    <row r="311" spans="1:26" x14ac:dyDescent="0.35">
      <c r="A311">
        <v>1364</v>
      </c>
      <c r="B311">
        <v>41954</v>
      </c>
      <c r="C311">
        <v>11</v>
      </c>
      <c r="D311" t="s">
        <v>113</v>
      </c>
      <c r="E311" t="s">
        <v>114</v>
      </c>
      <c r="F311" t="s">
        <v>115</v>
      </c>
      <c r="G311" t="s">
        <v>116</v>
      </c>
      <c r="H311">
        <v>99999</v>
      </c>
      <c r="I311" t="s">
        <v>30</v>
      </c>
      <c r="J311" t="s">
        <v>94</v>
      </c>
      <c r="K311" t="s">
        <v>95</v>
      </c>
      <c r="M311" t="s">
        <v>62</v>
      </c>
      <c r="N311" t="s">
        <v>117</v>
      </c>
      <c r="O311" t="s">
        <v>114</v>
      </c>
      <c r="P311" t="s">
        <v>115</v>
      </c>
      <c r="Q311" t="s">
        <v>116</v>
      </c>
      <c r="R311">
        <v>99999</v>
      </c>
      <c r="S311" t="s">
        <v>30</v>
      </c>
      <c r="U311" t="s">
        <v>88</v>
      </c>
      <c r="V311" t="s">
        <v>89</v>
      </c>
      <c r="W311">
        <v>40</v>
      </c>
      <c r="X311">
        <v>78</v>
      </c>
      <c r="Y311">
        <v>3120</v>
      </c>
      <c r="Z311">
        <v>299.52</v>
      </c>
    </row>
    <row r="312" spans="1:26" x14ac:dyDescent="0.35">
      <c r="A312">
        <v>1365</v>
      </c>
      <c r="B312">
        <v>41944</v>
      </c>
      <c r="C312">
        <v>1</v>
      </c>
      <c r="D312" t="s">
        <v>118</v>
      </c>
      <c r="E312" t="s">
        <v>119</v>
      </c>
      <c r="F312" t="s">
        <v>120</v>
      </c>
      <c r="G312" t="s">
        <v>121</v>
      </c>
      <c r="H312">
        <v>99999</v>
      </c>
      <c r="I312" t="s">
        <v>30</v>
      </c>
      <c r="J312" t="s">
        <v>60</v>
      </c>
      <c r="K312" t="s">
        <v>61</v>
      </c>
      <c r="M312" t="s">
        <v>62</v>
      </c>
      <c r="N312" t="s">
        <v>122</v>
      </c>
      <c r="O312" t="s">
        <v>119</v>
      </c>
      <c r="P312" t="s">
        <v>120</v>
      </c>
      <c r="Q312" t="s">
        <v>121</v>
      </c>
      <c r="R312">
        <v>99999</v>
      </c>
      <c r="S312" t="s">
        <v>30</v>
      </c>
      <c r="U312" t="s">
        <v>123</v>
      </c>
      <c r="V312" t="s">
        <v>124</v>
      </c>
      <c r="W312">
        <v>18.399999999999999</v>
      </c>
      <c r="X312">
        <v>76</v>
      </c>
      <c r="Y312">
        <v>1398.3999999999999</v>
      </c>
      <c r="Z312">
        <v>144.0352</v>
      </c>
    </row>
    <row r="313" spans="1:26" x14ac:dyDescent="0.35">
      <c r="A313">
        <v>1366</v>
      </c>
      <c r="B313">
        <v>41971</v>
      </c>
      <c r="C313">
        <v>28</v>
      </c>
      <c r="D313" t="s">
        <v>90</v>
      </c>
      <c r="E313" t="s">
        <v>91</v>
      </c>
      <c r="F313" t="s">
        <v>92</v>
      </c>
      <c r="G313" t="s">
        <v>93</v>
      </c>
      <c r="H313">
        <v>99999</v>
      </c>
      <c r="I313" t="s">
        <v>30</v>
      </c>
      <c r="J313" t="s">
        <v>94</v>
      </c>
      <c r="K313" t="s">
        <v>95</v>
      </c>
      <c r="L313">
        <v>41973</v>
      </c>
      <c r="M313" t="s">
        <v>62</v>
      </c>
      <c r="N313" t="s">
        <v>96</v>
      </c>
      <c r="O313" t="s">
        <v>91</v>
      </c>
      <c r="P313" t="s">
        <v>92</v>
      </c>
      <c r="Q313" t="s">
        <v>93</v>
      </c>
      <c r="R313">
        <v>99999</v>
      </c>
      <c r="S313" t="s">
        <v>30</v>
      </c>
      <c r="T313" t="s">
        <v>48</v>
      </c>
      <c r="U313" t="s">
        <v>55</v>
      </c>
      <c r="V313" t="s">
        <v>37</v>
      </c>
      <c r="W313">
        <v>46</v>
      </c>
      <c r="X313">
        <v>57</v>
      </c>
      <c r="Y313">
        <v>2622</v>
      </c>
      <c r="Z313">
        <v>272.68799999999999</v>
      </c>
    </row>
    <row r="314" spans="1:26" x14ac:dyDescent="0.35">
      <c r="A314">
        <v>1367</v>
      </c>
      <c r="B314">
        <v>41952</v>
      </c>
      <c r="C314">
        <v>9</v>
      </c>
      <c r="D314" t="s">
        <v>125</v>
      </c>
      <c r="E314" t="s">
        <v>126</v>
      </c>
      <c r="F314" t="s">
        <v>127</v>
      </c>
      <c r="G314" t="s">
        <v>128</v>
      </c>
      <c r="H314">
        <v>99999</v>
      </c>
      <c r="I314" t="s">
        <v>30</v>
      </c>
      <c r="J314" t="s">
        <v>129</v>
      </c>
      <c r="K314" t="s">
        <v>32</v>
      </c>
      <c r="L314">
        <v>41954</v>
      </c>
      <c r="M314" t="s">
        <v>46</v>
      </c>
      <c r="N314" t="s">
        <v>130</v>
      </c>
      <c r="O314" t="s">
        <v>126</v>
      </c>
      <c r="P314" t="s">
        <v>127</v>
      </c>
      <c r="Q314" t="s">
        <v>128</v>
      </c>
      <c r="R314">
        <v>99999</v>
      </c>
      <c r="S314" t="s">
        <v>30</v>
      </c>
      <c r="T314" t="s">
        <v>35</v>
      </c>
      <c r="U314" t="s">
        <v>80</v>
      </c>
      <c r="V314" t="s">
        <v>81</v>
      </c>
      <c r="W314">
        <v>9.65</v>
      </c>
      <c r="X314">
        <v>14</v>
      </c>
      <c r="Y314">
        <v>135.1</v>
      </c>
      <c r="Z314">
        <v>12.9696</v>
      </c>
    </row>
    <row r="315" spans="1:26" x14ac:dyDescent="0.35">
      <c r="A315">
        <v>1368</v>
      </c>
      <c r="B315">
        <v>42000</v>
      </c>
      <c r="C315">
        <v>27</v>
      </c>
      <c r="D315" t="s">
        <v>26</v>
      </c>
      <c r="E315" t="s">
        <v>27</v>
      </c>
      <c r="F315" t="s">
        <v>28</v>
      </c>
      <c r="G315" t="s">
        <v>29</v>
      </c>
      <c r="H315">
        <v>99999</v>
      </c>
      <c r="I315" t="s">
        <v>30</v>
      </c>
      <c r="J315" t="s">
        <v>31</v>
      </c>
      <c r="K315" t="s">
        <v>32</v>
      </c>
      <c r="L315">
        <v>42002</v>
      </c>
      <c r="M315" t="s">
        <v>33</v>
      </c>
      <c r="N315" t="s">
        <v>34</v>
      </c>
      <c r="O315" t="s">
        <v>27</v>
      </c>
      <c r="P315" t="s">
        <v>28</v>
      </c>
      <c r="Q315" t="s">
        <v>29</v>
      </c>
      <c r="R315">
        <v>99999</v>
      </c>
      <c r="S315" t="s">
        <v>30</v>
      </c>
      <c r="T315" t="s">
        <v>35</v>
      </c>
      <c r="U315" t="s">
        <v>36</v>
      </c>
      <c r="V315" t="s">
        <v>37</v>
      </c>
      <c r="W315">
        <v>14</v>
      </c>
      <c r="X315">
        <v>14</v>
      </c>
      <c r="Y315">
        <v>196</v>
      </c>
      <c r="Z315">
        <v>19.796000000000003</v>
      </c>
    </row>
    <row r="316" spans="1:26" x14ac:dyDescent="0.35">
      <c r="A316">
        <v>1369</v>
      </c>
      <c r="B316">
        <v>42000</v>
      </c>
      <c r="C316">
        <v>27</v>
      </c>
      <c r="D316" t="s">
        <v>26</v>
      </c>
      <c r="E316" t="s">
        <v>27</v>
      </c>
      <c r="F316" t="s">
        <v>28</v>
      </c>
      <c r="G316" t="s">
        <v>29</v>
      </c>
      <c r="H316">
        <v>99999</v>
      </c>
      <c r="I316" t="s">
        <v>30</v>
      </c>
      <c r="J316" t="s">
        <v>31</v>
      </c>
      <c r="K316" t="s">
        <v>32</v>
      </c>
      <c r="L316">
        <v>42002</v>
      </c>
      <c r="M316" t="s">
        <v>33</v>
      </c>
      <c r="N316" t="s">
        <v>34</v>
      </c>
      <c r="O316" t="s">
        <v>27</v>
      </c>
      <c r="P316" t="s">
        <v>28</v>
      </c>
      <c r="Q316" t="s">
        <v>29</v>
      </c>
      <c r="R316">
        <v>99999</v>
      </c>
      <c r="S316" t="s">
        <v>30</v>
      </c>
      <c r="T316" t="s">
        <v>35</v>
      </c>
      <c r="U316" t="s">
        <v>38</v>
      </c>
      <c r="V316" t="s">
        <v>39</v>
      </c>
      <c r="W316">
        <v>3.5</v>
      </c>
      <c r="X316">
        <v>70</v>
      </c>
      <c r="Y316">
        <v>245</v>
      </c>
      <c r="Z316">
        <v>25.234999999999999</v>
      </c>
    </row>
    <row r="317" spans="1:26" x14ac:dyDescent="0.35">
      <c r="A317">
        <v>1370</v>
      </c>
      <c r="B317">
        <v>41977</v>
      </c>
      <c r="C317">
        <v>4</v>
      </c>
      <c r="D317" t="s">
        <v>40</v>
      </c>
      <c r="E317" t="s">
        <v>41</v>
      </c>
      <c r="F317" t="s">
        <v>42</v>
      </c>
      <c r="G317" t="s">
        <v>43</v>
      </c>
      <c r="H317">
        <v>99999</v>
      </c>
      <c r="I317" t="s">
        <v>30</v>
      </c>
      <c r="J317" t="s">
        <v>44</v>
      </c>
      <c r="K317" t="s">
        <v>45</v>
      </c>
      <c r="L317">
        <v>41979</v>
      </c>
      <c r="M317" t="s">
        <v>46</v>
      </c>
      <c r="N317" t="s">
        <v>47</v>
      </c>
      <c r="O317" t="s">
        <v>41</v>
      </c>
      <c r="P317" t="s">
        <v>42</v>
      </c>
      <c r="Q317" t="s">
        <v>43</v>
      </c>
      <c r="R317">
        <v>99999</v>
      </c>
      <c r="S317" t="s">
        <v>30</v>
      </c>
      <c r="T317" t="s">
        <v>48</v>
      </c>
      <c r="U317" t="s">
        <v>49</v>
      </c>
      <c r="V317" t="s">
        <v>39</v>
      </c>
      <c r="W317">
        <v>30</v>
      </c>
      <c r="X317">
        <v>100</v>
      </c>
      <c r="Y317">
        <v>3000</v>
      </c>
      <c r="Z317">
        <v>291</v>
      </c>
    </row>
    <row r="318" spans="1:26" x14ac:dyDescent="0.35">
      <c r="A318">
        <v>1371</v>
      </c>
      <c r="B318">
        <v>41977</v>
      </c>
      <c r="C318">
        <v>4</v>
      </c>
      <c r="D318" t="s">
        <v>40</v>
      </c>
      <c r="E318" t="s">
        <v>41</v>
      </c>
      <c r="F318" t="s">
        <v>42</v>
      </c>
      <c r="G318" t="s">
        <v>43</v>
      </c>
      <c r="H318">
        <v>99999</v>
      </c>
      <c r="I318" t="s">
        <v>30</v>
      </c>
      <c r="J318" t="s">
        <v>44</v>
      </c>
      <c r="K318" t="s">
        <v>45</v>
      </c>
      <c r="L318">
        <v>41979</v>
      </c>
      <c r="M318" t="s">
        <v>46</v>
      </c>
      <c r="N318" t="s">
        <v>47</v>
      </c>
      <c r="O318" t="s">
        <v>41</v>
      </c>
      <c r="P318" t="s">
        <v>42</v>
      </c>
      <c r="Q318" t="s">
        <v>43</v>
      </c>
      <c r="R318">
        <v>99999</v>
      </c>
      <c r="S318" t="s">
        <v>30</v>
      </c>
      <c r="T318" t="s">
        <v>48</v>
      </c>
      <c r="U318" t="s">
        <v>50</v>
      </c>
      <c r="V318" t="s">
        <v>39</v>
      </c>
      <c r="W318">
        <v>53</v>
      </c>
      <c r="X318">
        <v>27</v>
      </c>
      <c r="Y318">
        <v>1431</v>
      </c>
      <c r="Z318">
        <v>143.1</v>
      </c>
    </row>
    <row r="319" spans="1:26" x14ac:dyDescent="0.35">
      <c r="A319">
        <v>1372</v>
      </c>
      <c r="B319">
        <v>41977</v>
      </c>
      <c r="C319">
        <v>4</v>
      </c>
      <c r="D319" t="s">
        <v>40</v>
      </c>
      <c r="E319" t="s">
        <v>41</v>
      </c>
      <c r="F319" t="s">
        <v>42</v>
      </c>
      <c r="G319" t="s">
        <v>43</v>
      </c>
      <c r="H319">
        <v>99999</v>
      </c>
      <c r="I319" t="s">
        <v>30</v>
      </c>
      <c r="J319" t="s">
        <v>44</v>
      </c>
      <c r="K319" t="s">
        <v>45</v>
      </c>
      <c r="L319">
        <v>41979</v>
      </c>
      <c r="M319" t="s">
        <v>46</v>
      </c>
      <c r="N319" t="s">
        <v>47</v>
      </c>
      <c r="O319" t="s">
        <v>41</v>
      </c>
      <c r="P319" t="s">
        <v>42</v>
      </c>
      <c r="Q319" t="s">
        <v>43</v>
      </c>
      <c r="R319">
        <v>99999</v>
      </c>
      <c r="S319" t="s">
        <v>30</v>
      </c>
      <c r="T319" t="s">
        <v>48</v>
      </c>
      <c r="U319" t="s">
        <v>38</v>
      </c>
      <c r="V319" t="s">
        <v>39</v>
      </c>
      <c r="W319">
        <v>3.5</v>
      </c>
      <c r="X319">
        <v>70</v>
      </c>
      <c r="Y319">
        <v>245</v>
      </c>
      <c r="Z319">
        <v>24.009999999999998</v>
      </c>
    </row>
    <row r="320" spans="1:26" x14ac:dyDescent="0.35">
      <c r="A320">
        <v>1373</v>
      </c>
      <c r="B320">
        <v>41985</v>
      </c>
      <c r="C320">
        <v>12</v>
      </c>
      <c r="D320" t="s">
        <v>51</v>
      </c>
      <c r="E320" t="s">
        <v>52</v>
      </c>
      <c r="F320" t="s">
        <v>28</v>
      </c>
      <c r="G320" t="s">
        <v>29</v>
      </c>
      <c r="H320">
        <v>99999</v>
      </c>
      <c r="I320" t="s">
        <v>30</v>
      </c>
      <c r="J320" t="s">
        <v>31</v>
      </c>
      <c r="K320" t="s">
        <v>32</v>
      </c>
      <c r="L320">
        <v>41987</v>
      </c>
      <c r="M320" t="s">
        <v>33</v>
      </c>
      <c r="N320" t="s">
        <v>53</v>
      </c>
      <c r="O320" t="s">
        <v>52</v>
      </c>
      <c r="P320" t="s">
        <v>28</v>
      </c>
      <c r="Q320" t="s">
        <v>29</v>
      </c>
      <c r="R320">
        <v>99999</v>
      </c>
      <c r="S320" t="s">
        <v>30</v>
      </c>
      <c r="T320" t="s">
        <v>48</v>
      </c>
      <c r="U320" t="s">
        <v>54</v>
      </c>
      <c r="V320" t="s">
        <v>37</v>
      </c>
      <c r="W320">
        <v>18</v>
      </c>
      <c r="X320">
        <v>57</v>
      </c>
      <c r="Y320">
        <v>1026</v>
      </c>
      <c r="Z320">
        <v>102.60000000000001</v>
      </c>
    </row>
    <row r="321" spans="1:26" x14ac:dyDescent="0.35">
      <c r="A321">
        <v>1374</v>
      </c>
      <c r="B321">
        <v>41985</v>
      </c>
      <c r="C321">
        <v>12</v>
      </c>
      <c r="D321" t="s">
        <v>51</v>
      </c>
      <c r="E321" t="s">
        <v>52</v>
      </c>
      <c r="F321" t="s">
        <v>28</v>
      </c>
      <c r="G321" t="s">
        <v>29</v>
      </c>
      <c r="H321">
        <v>99999</v>
      </c>
      <c r="I321" t="s">
        <v>30</v>
      </c>
      <c r="J321" t="s">
        <v>31</v>
      </c>
      <c r="K321" t="s">
        <v>32</v>
      </c>
      <c r="L321">
        <v>41987</v>
      </c>
      <c r="M321" t="s">
        <v>33</v>
      </c>
      <c r="N321" t="s">
        <v>53</v>
      </c>
      <c r="O321" t="s">
        <v>52</v>
      </c>
      <c r="P321" t="s">
        <v>28</v>
      </c>
      <c r="Q321" t="s">
        <v>29</v>
      </c>
      <c r="R321">
        <v>99999</v>
      </c>
      <c r="S321" t="s">
        <v>30</v>
      </c>
      <c r="T321" t="s">
        <v>48</v>
      </c>
      <c r="U321" t="s">
        <v>55</v>
      </c>
      <c r="V321" t="s">
        <v>37</v>
      </c>
      <c r="W321">
        <v>46</v>
      </c>
      <c r="X321">
        <v>83</v>
      </c>
      <c r="Y321">
        <v>3818</v>
      </c>
      <c r="Z321">
        <v>374.16399999999999</v>
      </c>
    </row>
    <row r="322" spans="1:26" x14ac:dyDescent="0.35">
      <c r="A322">
        <v>1375</v>
      </c>
      <c r="B322">
        <v>41981</v>
      </c>
      <c r="C322">
        <v>8</v>
      </c>
      <c r="D322" t="s">
        <v>56</v>
      </c>
      <c r="E322" t="s">
        <v>57</v>
      </c>
      <c r="F322" t="s">
        <v>58</v>
      </c>
      <c r="G322" t="s">
        <v>59</v>
      </c>
      <c r="H322">
        <v>99999</v>
      </c>
      <c r="I322" t="s">
        <v>30</v>
      </c>
      <c r="J322" t="s">
        <v>60</v>
      </c>
      <c r="K322" t="s">
        <v>61</v>
      </c>
      <c r="L322">
        <v>41983</v>
      </c>
      <c r="M322" t="s">
        <v>62</v>
      </c>
      <c r="N322" t="s">
        <v>63</v>
      </c>
      <c r="O322" t="s">
        <v>57</v>
      </c>
      <c r="P322" t="s">
        <v>58</v>
      </c>
      <c r="Q322" t="s">
        <v>59</v>
      </c>
      <c r="R322">
        <v>99999</v>
      </c>
      <c r="S322" t="s">
        <v>30</v>
      </c>
      <c r="T322" t="s">
        <v>48</v>
      </c>
      <c r="U322" t="s">
        <v>64</v>
      </c>
      <c r="V322" t="s">
        <v>65</v>
      </c>
      <c r="W322">
        <v>9.1999999999999993</v>
      </c>
      <c r="X322">
        <v>76</v>
      </c>
      <c r="Y322">
        <v>699.19999999999993</v>
      </c>
      <c r="Z322">
        <v>67.123199999999997</v>
      </c>
    </row>
    <row r="323" spans="1:26" x14ac:dyDescent="0.35">
      <c r="A323">
        <v>1376</v>
      </c>
      <c r="B323">
        <v>41977</v>
      </c>
      <c r="C323">
        <v>4</v>
      </c>
      <c r="D323" t="s">
        <v>40</v>
      </c>
      <c r="E323" t="s">
        <v>41</v>
      </c>
      <c r="F323" t="s">
        <v>42</v>
      </c>
      <c r="G323" t="s">
        <v>43</v>
      </c>
      <c r="H323">
        <v>99999</v>
      </c>
      <c r="I323" t="s">
        <v>30</v>
      </c>
      <c r="J323" t="s">
        <v>44</v>
      </c>
      <c r="K323" t="s">
        <v>45</v>
      </c>
      <c r="L323">
        <v>41979</v>
      </c>
      <c r="M323" t="s">
        <v>62</v>
      </c>
      <c r="N323" t="s">
        <v>47</v>
      </c>
      <c r="O323" t="s">
        <v>41</v>
      </c>
      <c r="P323" t="s">
        <v>42</v>
      </c>
      <c r="Q323" t="s">
        <v>43</v>
      </c>
      <c r="R323">
        <v>99999</v>
      </c>
      <c r="S323" t="s">
        <v>30</v>
      </c>
      <c r="T323" t="s">
        <v>35</v>
      </c>
      <c r="U323" t="s">
        <v>64</v>
      </c>
      <c r="V323" t="s">
        <v>65</v>
      </c>
      <c r="W323">
        <v>9.1999999999999993</v>
      </c>
      <c r="X323">
        <v>80</v>
      </c>
      <c r="Y323">
        <v>736</v>
      </c>
      <c r="Z323">
        <v>72.864000000000004</v>
      </c>
    </row>
    <row r="324" spans="1:26" x14ac:dyDescent="0.35">
      <c r="A324">
        <v>1377</v>
      </c>
      <c r="B324">
        <v>42002</v>
      </c>
      <c r="C324">
        <v>29</v>
      </c>
      <c r="D324" t="s">
        <v>66</v>
      </c>
      <c r="E324" t="s">
        <v>67</v>
      </c>
      <c r="F324" t="s">
        <v>68</v>
      </c>
      <c r="G324" t="s">
        <v>69</v>
      </c>
      <c r="H324">
        <v>99999</v>
      </c>
      <c r="I324" t="s">
        <v>30</v>
      </c>
      <c r="J324" t="s">
        <v>70</v>
      </c>
      <c r="K324" t="s">
        <v>32</v>
      </c>
      <c r="L324">
        <v>42004</v>
      </c>
      <c r="M324" t="s">
        <v>33</v>
      </c>
      <c r="N324" t="s">
        <v>71</v>
      </c>
      <c r="O324" t="s">
        <v>67</v>
      </c>
      <c r="P324" t="s">
        <v>68</v>
      </c>
      <c r="Q324" t="s">
        <v>69</v>
      </c>
      <c r="R324">
        <v>99999</v>
      </c>
      <c r="S324" t="s">
        <v>30</v>
      </c>
      <c r="T324" t="s">
        <v>35</v>
      </c>
      <c r="U324" t="s">
        <v>72</v>
      </c>
      <c r="V324" t="s">
        <v>73</v>
      </c>
      <c r="W324">
        <v>12.75</v>
      </c>
      <c r="X324">
        <v>47</v>
      </c>
      <c r="Y324">
        <v>599.25</v>
      </c>
      <c r="Z324">
        <v>59.325750000000006</v>
      </c>
    </row>
    <row r="325" spans="1:26" x14ac:dyDescent="0.35">
      <c r="A325">
        <v>1378</v>
      </c>
      <c r="B325">
        <v>41976</v>
      </c>
      <c r="C325">
        <v>3</v>
      </c>
      <c r="D325" t="s">
        <v>74</v>
      </c>
      <c r="E325" t="s">
        <v>75</v>
      </c>
      <c r="F325" t="s">
        <v>76</v>
      </c>
      <c r="G325" t="s">
        <v>77</v>
      </c>
      <c r="H325">
        <v>99999</v>
      </c>
      <c r="I325" t="s">
        <v>30</v>
      </c>
      <c r="J325" t="s">
        <v>31</v>
      </c>
      <c r="K325" t="s">
        <v>32</v>
      </c>
      <c r="L325">
        <v>41978</v>
      </c>
      <c r="M325" t="s">
        <v>33</v>
      </c>
      <c r="N325" t="s">
        <v>78</v>
      </c>
      <c r="O325" t="s">
        <v>75</v>
      </c>
      <c r="P325" t="s">
        <v>76</v>
      </c>
      <c r="Q325" t="s">
        <v>77</v>
      </c>
      <c r="R325">
        <v>99999</v>
      </c>
      <c r="S325" t="s">
        <v>30</v>
      </c>
      <c r="T325" t="s">
        <v>79</v>
      </c>
      <c r="U325" t="s">
        <v>80</v>
      </c>
      <c r="V325" t="s">
        <v>81</v>
      </c>
      <c r="W325">
        <v>9.65</v>
      </c>
      <c r="X325">
        <v>96</v>
      </c>
      <c r="Y325">
        <v>926.40000000000009</v>
      </c>
      <c r="Z325">
        <v>94.492800000000017</v>
      </c>
    </row>
    <row r="326" spans="1:26" x14ac:dyDescent="0.35">
      <c r="A326">
        <v>1379</v>
      </c>
      <c r="B326">
        <v>41979</v>
      </c>
      <c r="C326">
        <v>6</v>
      </c>
      <c r="D326" t="s">
        <v>82</v>
      </c>
      <c r="E326" t="s">
        <v>83</v>
      </c>
      <c r="F326" t="s">
        <v>84</v>
      </c>
      <c r="G326" t="s">
        <v>85</v>
      </c>
      <c r="H326">
        <v>99999</v>
      </c>
      <c r="I326" t="s">
        <v>30</v>
      </c>
      <c r="J326" t="s">
        <v>86</v>
      </c>
      <c r="K326" t="s">
        <v>61</v>
      </c>
      <c r="L326">
        <v>41981</v>
      </c>
      <c r="M326" t="s">
        <v>33</v>
      </c>
      <c r="N326" t="s">
        <v>87</v>
      </c>
      <c r="O326" t="s">
        <v>83</v>
      </c>
      <c r="P326" t="s">
        <v>84</v>
      </c>
      <c r="Q326" t="s">
        <v>85</v>
      </c>
      <c r="R326">
        <v>99999</v>
      </c>
      <c r="S326" t="s">
        <v>30</v>
      </c>
      <c r="T326" t="s">
        <v>48</v>
      </c>
      <c r="U326" t="s">
        <v>88</v>
      </c>
      <c r="V326" t="s">
        <v>89</v>
      </c>
      <c r="W326">
        <v>40</v>
      </c>
      <c r="X326">
        <v>32</v>
      </c>
      <c r="Y326">
        <v>1280</v>
      </c>
      <c r="Z326">
        <v>134.4</v>
      </c>
    </row>
    <row r="327" spans="1:26" x14ac:dyDescent="0.35">
      <c r="A327">
        <v>1380</v>
      </c>
      <c r="B327">
        <v>42001</v>
      </c>
      <c r="C327">
        <v>28</v>
      </c>
      <c r="D327" t="s">
        <v>90</v>
      </c>
      <c r="E327" t="s">
        <v>91</v>
      </c>
      <c r="F327" t="s">
        <v>92</v>
      </c>
      <c r="G327" t="s">
        <v>93</v>
      </c>
      <c r="H327">
        <v>99999</v>
      </c>
      <c r="I327" t="s">
        <v>30</v>
      </c>
      <c r="J327" t="s">
        <v>94</v>
      </c>
      <c r="K327" t="s">
        <v>95</v>
      </c>
      <c r="L327">
        <v>42003</v>
      </c>
      <c r="M327" t="s">
        <v>62</v>
      </c>
      <c r="N327" t="s">
        <v>96</v>
      </c>
      <c r="O327" t="s">
        <v>91</v>
      </c>
      <c r="P327" t="s">
        <v>92</v>
      </c>
      <c r="Q327" t="s">
        <v>93</v>
      </c>
      <c r="R327">
        <v>99999</v>
      </c>
      <c r="S327" t="s">
        <v>30</v>
      </c>
      <c r="T327" t="s">
        <v>35</v>
      </c>
      <c r="U327" t="s">
        <v>55</v>
      </c>
      <c r="V327" t="s">
        <v>37</v>
      </c>
      <c r="W327">
        <v>46</v>
      </c>
      <c r="X327">
        <v>16</v>
      </c>
      <c r="Y327">
        <v>736</v>
      </c>
      <c r="Z327">
        <v>73.600000000000009</v>
      </c>
    </row>
    <row r="328" spans="1:26" x14ac:dyDescent="0.35">
      <c r="A328">
        <v>1381</v>
      </c>
      <c r="B328">
        <v>41981</v>
      </c>
      <c r="C328">
        <v>8</v>
      </c>
      <c r="D328" t="s">
        <v>56</v>
      </c>
      <c r="E328" t="s">
        <v>57</v>
      </c>
      <c r="F328" t="s">
        <v>58</v>
      </c>
      <c r="G328" t="s">
        <v>59</v>
      </c>
      <c r="H328">
        <v>99999</v>
      </c>
      <c r="I328" t="s">
        <v>30</v>
      </c>
      <c r="J328" t="s">
        <v>60</v>
      </c>
      <c r="K328" t="s">
        <v>61</v>
      </c>
      <c r="L328">
        <v>41983</v>
      </c>
      <c r="M328" t="s">
        <v>62</v>
      </c>
      <c r="N328" t="s">
        <v>63</v>
      </c>
      <c r="O328" t="s">
        <v>57</v>
      </c>
      <c r="P328" t="s">
        <v>58</v>
      </c>
      <c r="Q328" t="s">
        <v>59</v>
      </c>
      <c r="R328">
        <v>99999</v>
      </c>
      <c r="S328" t="s">
        <v>30</v>
      </c>
      <c r="T328" t="s">
        <v>35</v>
      </c>
      <c r="U328" t="s">
        <v>72</v>
      </c>
      <c r="V328" t="s">
        <v>73</v>
      </c>
      <c r="W328">
        <v>12.75</v>
      </c>
      <c r="X328">
        <v>41</v>
      </c>
      <c r="Y328">
        <v>522.75</v>
      </c>
      <c r="Z328">
        <v>51.229500000000002</v>
      </c>
    </row>
    <row r="329" spans="1:26" x14ac:dyDescent="0.35">
      <c r="A329">
        <v>1382</v>
      </c>
      <c r="B329">
        <v>41983</v>
      </c>
      <c r="C329">
        <v>10</v>
      </c>
      <c r="D329" t="s">
        <v>97</v>
      </c>
      <c r="E329" t="s">
        <v>98</v>
      </c>
      <c r="F329" t="s">
        <v>99</v>
      </c>
      <c r="G329" t="s">
        <v>100</v>
      </c>
      <c r="H329">
        <v>99999</v>
      </c>
      <c r="I329" t="s">
        <v>30</v>
      </c>
      <c r="J329" t="s">
        <v>101</v>
      </c>
      <c r="K329" t="s">
        <v>45</v>
      </c>
      <c r="L329">
        <v>41985</v>
      </c>
      <c r="M329" t="s">
        <v>33</v>
      </c>
      <c r="N329" t="s">
        <v>102</v>
      </c>
      <c r="O329" t="s">
        <v>98</v>
      </c>
      <c r="P329" t="s">
        <v>99</v>
      </c>
      <c r="Q329" t="s">
        <v>100</v>
      </c>
      <c r="R329">
        <v>99999</v>
      </c>
      <c r="S329" t="s">
        <v>30</v>
      </c>
      <c r="T329" t="s">
        <v>48</v>
      </c>
      <c r="U329" t="s">
        <v>103</v>
      </c>
      <c r="V329" t="s">
        <v>37</v>
      </c>
      <c r="W329">
        <v>2.99</v>
      </c>
      <c r="X329">
        <v>41</v>
      </c>
      <c r="Y329">
        <v>122.59</v>
      </c>
      <c r="Z329">
        <v>12.871950000000002</v>
      </c>
    </row>
    <row r="330" spans="1:26" x14ac:dyDescent="0.35">
      <c r="A330">
        <v>1383</v>
      </c>
      <c r="B330">
        <v>41980</v>
      </c>
      <c r="C330">
        <v>7</v>
      </c>
      <c r="D330" t="s">
        <v>104</v>
      </c>
      <c r="E330" t="s">
        <v>105</v>
      </c>
      <c r="F330" t="s">
        <v>106</v>
      </c>
      <c r="G330" t="s">
        <v>107</v>
      </c>
      <c r="H330">
        <v>99999</v>
      </c>
      <c r="I330" t="s">
        <v>30</v>
      </c>
      <c r="J330" t="s">
        <v>60</v>
      </c>
      <c r="K330" t="s">
        <v>61</v>
      </c>
      <c r="N330" t="s">
        <v>108</v>
      </c>
      <c r="O330" t="s">
        <v>105</v>
      </c>
      <c r="P330" t="s">
        <v>106</v>
      </c>
      <c r="Q330" t="s">
        <v>107</v>
      </c>
      <c r="R330">
        <v>99999</v>
      </c>
      <c r="S330" t="s">
        <v>30</v>
      </c>
      <c r="U330" t="s">
        <v>55</v>
      </c>
      <c r="V330" t="s">
        <v>37</v>
      </c>
      <c r="W330">
        <v>46</v>
      </c>
      <c r="X330">
        <v>41</v>
      </c>
      <c r="Y330">
        <v>1886</v>
      </c>
      <c r="Z330">
        <v>194.25800000000004</v>
      </c>
    </row>
    <row r="331" spans="1:26" x14ac:dyDescent="0.35">
      <c r="A331">
        <v>1384</v>
      </c>
      <c r="B331">
        <v>41983</v>
      </c>
      <c r="C331">
        <v>10</v>
      </c>
      <c r="D331" t="s">
        <v>97</v>
      </c>
      <c r="E331" t="s">
        <v>98</v>
      </c>
      <c r="F331" t="s">
        <v>99</v>
      </c>
      <c r="G331" t="s">
        <v>100</v>
      </c>
      <c r="H331">
        <v>99999</v>
      </c>
      <c r="I331" t="s">
        <v>30</v>
      </c>
      <c r="J331" t="s">
        <v>101</v>
      </c>
      <c r="K331" t="s">
        <v>45</v>
      </c>
      <c r="L331">
        <v>41985</v>
      </c>
      <c r="M331" t="s">
        <v>46</v>
      </c>
      <c r="N331" t="s">
        <v>102</v>
      </c>
      <c r="O331" t="s">
        <v>98</v>
      </c>
      <c r="P331" t="s">
        <v>99</v>
      </c>
      <c r="Q331" t="s">
        <v>100</v>
      </c>
      <c r="R331">
        <v>99999</v>
      </c>
      <c r="S331" t="s">
        <v>30</v>
      </c>
      <c r="U331" t="s">
        <v>109</v>
      </c>
      <c r="V331" t="s">
        <v>110</v>
      </c>
      <c r="W331">
        <v>25</v>
      </c>
      <c r="X331">
        <v>94</v>
      </c>
      <c r="Y331">
        <v>2350</v>
      </c>
      <c r="Z331">
        <v>235</v>
      </c>
    </row>
    <row r="332" spans="1:26" x14ac:dyDescent="0.35">
      <c r="A332">
        <v>1385</v>
      </c>
      <c r="B332">
        <v>41983</v>
      </c>
      <c r="C332">
        <v>10</v>
      </c>
      <c r="D332" t="s">
        <v>97</v>
      </c>
      <c r="E332" t="s">
        <v>98</v>
      </c>
      <c r="F332" t="s">
        <v>99</v>
      </c>
      <c r="G332" t="s">
        <v>100</v>
      </c>
      <c r="H332">
        <v>99999</v>
      </c>
      <c r="I332" t="s">
        <v>30</v>
      </c>
      <c r="J332" t="s">
        <v>101</v>
      </c>
      <c r="K332" t="s">
        <v>45</v>
      </c>
      <c r="L332">
        <v>41985</v>
      </c>
      <c r="M332" t="s">
        <v>46</v>
      </c>
      <c r="N332" t="s">
        <v>102</v>
      </c>
      <c r="O332" t="s">
        <v>98</v>
      </c>
      <c r="P332" t="s">
        <v>99</v>
      </c>
      <c r="Q332" t="s">
        <v>100</v>
      </c>
      <c r="R332">
        <v>99999</v>
      </c>
      <c r="S332" t="s">
        <v>30</v>
      </c>
      <c r="U332" t="s">
        <v>111</v>
      </c>
      <c r="V332" t="s">
        <v>112</v>
      </c>
      <c r="W332">
        <v>22</v>
      </c>
      <c r="X332">
        <v>20</v>
      </c>
      <c r="Y332">
        <v>440</v>
      </c>
      <c r="Z332">
        <v>46.2</v>
      </c>
    </row>
    <row r="333" spans="1:26" x14ac:dyDescent="0.35">
      <c r="A333">
        <v>1386</v>
      </c>
      <c r="B333">
        <v>41983</v>
      </c>
      <c r="C333">
        <v>10</v>
      </c>
      <c r="D333" t="s">
        <v>97</v>
      </c>
      <c r="E333" t="s">
        <v>98</v>
      </c>
      <c r="F333" t="s">
        <v>99</v>
      </c>
      <c r="G333" t="s">
        <v>100</v>
      </c>
      <c r="H333">
        <v>99999</v>
      </c>
      <c r="I333" t="s">
        <v>30</v>
      </c>
      <c r="J333" t="s">
        <v>101</v>
      </c>
      <c r="K333" t="s">
        <v>45</v>
      </c>
      <c r="L333">
        <v>41985</v>
      </c>
      <c r="M333" t="s">
        <v>46</v>
      </c>
      <c r="N333" t="s">
        <v>102</v>
      </c>
      <c r="O333" t="s">
        <v>98</v>
      </c>
      <c r="P333" t="s">
        <v>99</v>
      </c>
      <c r="Q333" t="s">
        <v>100</v>
      </c>
      <c r="R333">
        <v>99999</v>
      </c>
      <c r="S333" t="s">
        <v>30</v>
      </c>
      <c r="U333" t="s">
        <v>64</v>
      </c>
      <c r="V333" t="s">
        <v>65</v>
      </c>
      <c r="W333">
        <v>9.1999999999999993</v>
      </c>
      <c r="X333">
        <v>13</v>
      </c>
      <c r="Y333">
        <v>119.6</v>
      </c>
      <c r="Z333">
        <v>12.438400000000001</v>
      </c>
    </row>
    <row r="334" spans="1:26" x14ac:dyDescent="0.35">
      <c r="A334">
        <v>1387</v>
      </c>
      <c r="B334">
        <v>41984</v>
      </c>
      <c r="C334">
        <v>11</v>
      </c>
      <c r="D334" t="s">
        <v>113</v>
      </c>
      <c r="E334" t="s">
        <v>114</v>
      </c>
      <c r="F334" t="s">
        <v>115</v>
      </c>
      <c r="G334" t="s">
        <v>116</v>
      </c>
      <c r="H334">
        <v>99999</v>
      </c>
      <c r="I334" t="s">
        <v>30</v>
      </c>
      <c r="J334" t="s">
        <v>94</v>
      </c>
      <c r="K334" t="s">
        <v>95</v>
      </c>
      <c r="M334" t="s">
        <v>62</v>
      </c>
      <c r="N334" t="s">
        <v>117</v>
      </c>
      <c r="O334" t="s">
        <v>114</v>
      </c>
      <c r="P334" t="s">
        <v>115</v>
      </c>
      <c r="Q334" t="s">
        <v>116</v>
      </c>
      <c r="R334">
        <v>99999</v>
      </c>
      <c r="S334" t="s">
        <v>30</v>
      </c>
      <c r="U334" t="s">
        <v>38</v>
      </c>
      <c r="V334" t="s">
        <v>39</v>
      </c>
      <c r="W334">
        <v>3.5</v>
      </c>
      <c r="X334">
        <v>74</v>
      </c>
      <c r="Y334">
        <v>259</v>
      </c>
      <c r="Z334">
        <v>26.936000000000003</v>
      </c>
    </row>
    <row r="335" spans="1:26" x14ac:dyDescent="0.35">
      <c r="A335">
        <v>1388</v>
      </c>
      <c r="B335">
        <v>41984</v>
      </c>
      <c r="C335">
        <v>11</v>
      </c>
      <c r="D335" t="s">
        <v>113</v>
      </c>
      <c r="E335" t="s">
        <v>114</v>
      </c>
      <c r="F335" t="s">
        <v>115</v>
      </c>
      <c r="G335" t="s">
        <v>116</v>
      </c>
      <c r="H335">
        <v>99999</v>
      </c>
      <c r="I335" t="s">
        <v>30</v>
      </c>
      <c r="J335" t="s">
        <v>94</v>
      </c>
      <c r="K335" t="s">
        <v>95</v>
      </c>
      <c r="M335" t="s">
        <v>62</v>
      </c>
      <c r="N335" t="s">
        <v>117</v>
      </c>
      <c r="O335" t="s">
        <v>114</v>
      </c>
      <c r="P335" t="s">
        <v>115</v>
      </c>
      <c r="Q335" t="s">
        <v>116</v>
      </c>
      <c r="R335">
        <v>99999</v>
      </c>
      <c r="S335" t="s">
        <v>30</v>
      </c>
      <c r="U335" t="s">
        <v>103</v>
      </c>
      <c r="V335" t="s">
        <v>37</v>
      </c>
      <c r="W335">
        <v>2.99</v>
      </c>
      <c r="X335">
        <v>53</v>
      </c>
      <c r="Y335">
        <v>158.47</v>
      </c>
      <c r="Z335">
        <v>16.005470000000003</v>
      </c>
    </row>
    <row r="336" spans="1:26" x14ac:dyDescent="0.35">
      <c r="A336">
        <v>1389</v>
      </c>
      <c r="B336">
        <v>41974</v>
      </c>
      <c r="C336">
        <v>1</v>
      </c>
      <c r="D336" t="s">
        <v>118</v>
      </c>
      <c r="E336" t="s">
        <v>119</v>
      </c>
      <c r="F336" t="s">
        <v>120</v>
      </c>
      <c r="G336" t="s">
        <v>121</v>
      </c>
      <c r="H336">
        <v>99999</v>
      </c>
      <c r="I336" t="s">
        <v>30</v>
      </c>
      <c r="J336" t="s">
        <v>60</v>
      </c>
      <c r="K336" t="s">
        <v>61</v>
      </c>
      <c r="N336" t="s">
        <v>122</v>
      </c>
      <c r="O336" t="s">
        <v>119</v>
      </c>
      <c r="P336" t="s">
        <v>120</v>
      </c>
      <c r="Q336" t="s">
        <v>121</v>
      </c>
      <c r="R336">
        <v>99999</v>
      </c>
      <c r="S336" t="s">
        <v>30</v>
      </c>
      <c r="U336" t="s">
        <v>54</v>
      </c>
      <c r="V336" t="s">
        <v>37</v>
      </c>
      <c r="W336">
        <v>18</v>
      </c>
      <c r="X336">
        <v>99</v>
      </c>
      <c r="Y336">
        <v>1782</v>
      </c>
      <c r="Z336">
        <v>174.63600000000002</v>
      </c>
    </row>
    <row r="337" spans="1:26" x14ac:dyDescent="0.35">
      <c r="A337">
        <v>1390</v>
      </c>
      <c r="B337">
        <v>41974</v>
      </c>
      <c r="C337">
        <v>1</v>
      </c>
      <c r="D337" t="s">
        <v>118</v>
      </c>
      <c r="E337" t="s">
        <v>119</v>
      </c>
      <c r="F337" t="s">
        <v>120</v>
      </c>
      <c r="G337" t="s">
        <v>121</v>
      </c>
      <c r="H337">
        <v>99999</v>
      </c>
      <c r="I337" t="s">
        <v>30</v>
      </c>
      <c r="J337" t="s">
        <v>60</v>
      </c>
      <c r="K337" t="s">
        <v>61</v>
      </c>
      <c r="N337" t="s">
        <v>122</v>
      </c>
      <c r="O337" t="s">
        <v>119</v>
      </c>
      <c r="P337" t="s">
        <v>120</v>
      </c>
      <c r="Q337" t="s">
        <v>121</v>
      </c>
      <c r="R337">
        <v>99999</v>
      </c>
      <c r="S337" t="s">
        <v>30</v>
      </c>
      <c r="U337" t="s">
        <v>55</v>
      </c>
      <c r="V337" t="s">
        <v>37</v>
      </c>
      <c r="W337">
        <v>46</v>
      </c>
      <c r="X337">
        <v>89</v>
      </c>
      <c r="Y337">
        <v>4094</v>
      </c>
      <c r="Z337">
        <v>388.93</v>
      </c>
    </row>
    <row r="338" spans="1:26" x14ac:dyDescent="0.35">
      <c r="A338">
        <v>1391</v>
      </c>
      <c r="B338">
        <v>41974</v>
      </c>
      <c r="C338">
        <v>1</v>
      </c>
      <c r="D338" t="s">
        <v>118</v>
      </c>
      <c r="E338" t="s">
        <v>119</v>
      </c>
      <c r="F338" t="s">
        <v>120</v>
      </c>
      <c r="G338" t="s">
        <v>121</v>
      </c>
      <c r="H338">
        <v>99999</v>
      </c>
      <c r="I338" t="s">
        <v>30</v>
      </c>
      <c r="J338" t="s">
        <v>60</v>
      </c>
      <c r="K338" t="s">
        <v>61</v>
      </c>
      <c r="N338" t="s">
        <v>122</v>
      </c>
      <c r="O338" t="s">
        <v>119</v>
      </c>
      <c r="P338" t="s">
        <v>120</v>
      </c>
      <c r="Q338" t="s">
        <v>121</v>
      </c>
      <c r="R338">
        <v>99999</v>
      </c>
      <c r="S338" t="s">
        <v>30</v>
      </c>
      <c r="U338" t="s">
        <v>103</v>
      </c>
      <c r="V338" t="s">
        <v>37</v>
      </c>
      <c r="W338">
        <v>2.99</v>
      </c>
      <c r="X338">
        <v>64</v>
      </c>
      <c r="Y338">
        <v>191.36</v>
      </c>
      <c r="Z338">
        <v>19.518720000000002</v>
      </c>
    </row>
    <row r="339" spans="1:26" x14ac:dyDescent="0.35">
      <c r="A339">
        <v>1392</v>
      </c>
      <c r="B339">
        <v>42001</v>
      </c>
      <c r="C339">
        <v>28</v>
      </c>
      <c r="D339" t="s">
        <v>90</v>
      </c>
      <c r="E339" t="s">
        <v>91</v>
      </c>
      <c r="F339" t="s">
        <v>92</v>
      </c>
      <c r="G339" t="s">
        <v>93</v>
      </c>
      <c r="H339">
        <v>99999</v>
      </c>
      <c r="I339" t="s">
        <v>30</v>
      </c>
      <c r="J339" t="s">
        <v>94</v>
      </c>
      <c r="K339" t="s">
        <v>95</v>
      </c>
      <c r="L339">
        <v>42003</v>
      </c>
      <c r="M339" t="s">
        <v>62</v>
      </c>
      <c r="N339" t="s">
        <v>96</v>
      </c>
      <c r="O339" t="s">
        <v>91</v>
      </c>
      <c r="P339" t="s">
        <v>92</v>
      </c>
      <c r="Q339" t="s">
        <v>93</v>
      </c>
      <c r="R339">
        <v>99999</v>
      </c>
      <c r="S339" t="s">
        <v>30</v>
      </c>
      <c r="T339" t="s">
        <v>48</v>
      </c>
      <c r="U339" t="s">
        <v>80</v>
      </c>
      <c r="V339" t="s">
        <v>81</v>
      </c>
      <c r="W339">
        <v>9.65</v>
      </c>
      <c r="X339">
        <v>98</v>
      </c>
      <c r="Y339">
        <v>945.7</v>
      </c>
      <c r="Z339">
        <v>96.461400000000012</v>
      </c>
    </row>
    <row r="340" spans="1:26" x14ac:dyDescent="0.35">
      <c r="A340">
        <v>1393</v>
      </c>
      <c r="B340">
        <v>42001</v>
      </c>
      <c r="C340">
        <v>28</v>
      </c>
      <c r="D340" t="s">
        <v>90</v>
      </c>
      <c r="E340" t="s">
        <v>91</v>
      </c>
      <c r="F340" t="s">
        <v>92</v>
      </c>
      <c r="G340" t="s">
        <v>93</v>
      </c>
      <c r="H340">
        <v>99999</v>
      </c>
      <c r="I340" t="s">
        <v>30</v>
      </c>
      <c r="J340" t="s">
        <v>94</v>
      </c>
      <c r="K340" t="s">
        <v>95</v>
      </c>
      <c r="L340">
        <v>42003</v>
      </c>
      <c r="M340" t="s">
        <v>62</v>
      </c>
      <c r="N340" t="s">
        <v>96</v>
      </c>
      <c r="O340" t="s">
        <v>91</v>
      </c>
      <c r="P340" t="s">
        <v>92</v>
      </c>
      <c r="Q340" t="s">
        <v>93</v>
      </c>
      <c r="R340">
        <v>99999</v>
      </c>
      <c r="S340" t="s">
        <v>30</v>
      </c>
      <c r="T340" t="s">
        <v>48</v>
      </c>
      <c r="U340" t="s">
        <v>123</v>
      </c>
      <c r="V340" t="s">
        <v>124</v>
      </c>
      <c r="W340">
        <v>18.399999999999999</v>
      </c>
      <c r="X340">
        <v>86</v>
      </c>
      <c r="Y340">
        <v>1582.3999999999999</v>
      </c>
      <c r="Z340">
        <v>155.0752</v>
      </c>
    </row>
    <row r="341" spans="1:26" x14ac:dyDescent="0.35">
      <c r="A341">
        <v>1394</v>
      </c>
      <c r="B341">
        <v>41982</v>
      </c>
      <c r="C341">
        <v>9</v>
      </c>
      <c r="D341" t="s">
        <v>125</v>
      </c>
      <c r="E341" t="s">
        <v>126</v>
      </c>
      <c r="F341" t="s">
        <v>127</v>
      </c>
      <c r="G341" t="s">
        <v>128</v>
      </c>
      <c r="H341">
        <v>99999</v>
      </c>
      <c r="I341" t="s">
        <v>30</v>
      </c>
      <c r="J341" t="s">
        <v>129</v>
      </c>
      <c r="K341" t="s">
        <v>32</v>
      </c>
      <c r="L341">
        <v>41984</v>
      </c>
      <c r="M341" t="s">
        <v>46</v>
      </c>
      <c r="N341" t="s">
        <v>130</v>
      </c>
      <c r="O341" t="s">
        <v>126</v>
      </c>
      <c r="P341" t="s">
        <v>127</v>
      </c>
      <c r="Q341" t="s">
        <v>128</v>
      </c>
      <c r="R341">
        <v>99999</v>
      </c>
      <c r="S341" t="s">
        <v>30</v>
      </c>
      <c r="T341" t="s">
        <v>35</v>
      </c>
      <c r="U341" t="s">
        <v>131</v>
      </c>
      <c r="V341" t="s">
        <v>132</v>
      </c>
      <c r="W341">
        <v>19.5</v>
      </c>
      <c r="X341">
        <v>20</v>
      </c>
      <c r="Y341">
        <v>390</v>
      </c>
      <c r="Z341">
        <v>40.950000000000003</v>
      </c>
    </row>
    <row r="342" spans="1:26" x14ac:dyDescent="0.35">
      <c r="A342">
        <v>1395</v>
      </c>
      <c r="B342">
        <v>41982</v>
      </c>
      <c r="C342">
        <v>9</v>
      </c>
      <c r="D342" t="s">
        <v>125</v>
      </c>
      <c r="E342" t="s">
        <v>126</v>
      </c>
      <c r="F342" t="s">
        <v>127</v>
      </c>
      <c r="G342" t="s">
        <v>128</v>
      </c>
      <c r="H342">
        <v>99999</v>
      </c>
      <c r="I342" t="s">
        <v>30</v>
      </c>
      <c r="J342" t="s">
        <v>129</v>
      </c>
      <c r="K342" t="s">
        <v>32</v>
      </c>
      <c r="L342">
        <v>41984</v>
      </c>
      <c r="M342" t="s">
        <v>46</v>
      </c>
      <c r="N342" t="s">
        <v>130</v>
      </c>
      <c r="O342" t="s">
        <v>126</v>
      </c>
      <c r="P342" t="s">
        <v>127</v>
      </c>
      <c r="Q342" t="s">
        <v>128</v>
      </c>
      <c r="R342">
        <v>99999</v>
      </c>
      <c r="S342" t="s">
        <v>30</v>
      </c>
      <c r="T342" t="s">
        <v>35</v>
      </c>
      <c r="U342" t="s">
        <v>133</v>
      </c>
      <c r="V342" t="s">
        <v>134</v>
      </c>
      <c r="W342">
        <v>34.799999999999997</v>
      </c>
      <c r="X342">
        <v>69</v>
      </c>
      <c r="Y342">
        <v>2401.1999999999998</v>
      </c>
      <c r="Z342">
        <v>240.12</v>
      </c>
    </row>
    <row r="343" spans="1:26" x14ac:dyDescent="0.35">
      <c r="A343">
        <v>1396</v>
      </c>
      <c r="B343">
        <v>41979</v>
      </c>
      <c r="C343">
        <v>6</v>
      </c>
      <c r="D343" t="s">
        <v>82</v>
      </c>
      <c r="E343" t="s">
        <v>83</v>
      </c>
      <c r="F343" t="s">
        <v>84</v>
      </c>
      <c r="G343" t="s">
        <v>85</v>
      </c>
      <c r="H343">
        <v>99999</v>
      </c>
      <c r="I343" t="s">
        <v>30</v>
      </c>
      <c r="J343" t="s">
        <v>86</v>
      </c>
      <c r="K343" t="s">
        <v>61</v>
      </c>
      <c r="L343">
        <v>41981</v>
      </c>
      <c r="M343" t="s">
        <v>33</v>
      </c>
      <c r="N343" t="s">
        <v>87</v>
      </c>
      <c r="O343" t="s">
        <v>83</v>
      </c>
      <c r="P343" t="s">
        <v>84</v>
      </c>
      <c r="Q343" t="s">
        <v>85</v>
      </c>
      <c r="R343">
        <v>99999</v>
      </c>
      <c r="S343" t="s">
        <v>30</v>
      </c>
      <c r="T343" t="s">
        <v>48</v>
      </c>
      <c r="U343" t="s">
        <v>36</v>
      </c>
      <c r="V343" t="s">
        <v>37</v>
      </c>
      <c r="W343">
        <v>14</v>
      </c>
      <c r="X343">
        <v>68</v>
      </c>
      <c r="Y343">
        <v>952</v>
      </c>
      <c r="Z343">
        <v>91.391999999999996</v>
      </c>
    </row>
    <row r="344" spans="1:26" x14ac:dyDescent="0.35">
      <c r="A344">
        <v>1397</v>
      </c>
      <c r="B344">
        <v>41981</v>
      </c>
      <c r="C344">
        <v>8</v>
      </c>
      <c r="D344" t="s">
        <v>56</v>
      </c>
      <c r="E344" t="s">
        <v>57</v>
      </c>
      <c r="F344" t="s">
        <v>58</v>
      </c>
      <c r="G344" t="s">
        <v>59</v>
      </c>
      <c r="H344">
        <v>99999</v>
      </c>
      <c r="I344" t="s">
        <v>30</v>
      </c>
      <c r="J344" t="s">
        <v>60</v>
      </c>
      <c r="K344" t="s">
        <v>61</v>
      </c>
      <c r="L344">
        <v>41983</v>
      </c>
      <c r="M344" t="s">
        <v>33</v>
      </c>
      <c r="N344" t="s">
        <v>63</v>
      </c>
      <c r="O344" t="s">
        <v>57</v>
      </c>
      <c r="P344" t="s">
        <v>58</v>
      </c>
      <c r="Q344" t="s">
        <v>59</v>
      </c>
      <c r="R344">
        <v>99999</v>
      </c>
      <c r="S344" t="s">
        <v>30</v>
      </c>
      <c r="T344" t="s">
        <v>35</v>
      </c>
      <c r="U344" t="s">
        <v>88</v>
      </c>
      <c r="V344" t="s">
        <v>89</v>
      </c>
      <c r="W344">
        <v>40</v>
      </c>
      <c r="X344">
        <v>52</v>
      </c>
      <c r="Y344">
        <v>2080</v>
      </c>
      <c r="Z344">
        <v>203.84</v>
      </c>
    </row>
    <row r="345" spans="1:26" x14ac:dyDescent="0.35">
      <c r="A345">
        <v>1398</v>
      </c>
      <c r="B345">
        <v>41981</v>
      </c>
      <c r="C345">
        <v>8</v>
      </c>
      <c r="D345" t="s">
        <v>56</v>
      </c>
      <c r="E345" t="s">
        <v>57</v>
      </c>
      <c r="F345" t="s">
        <v>58</v>
      </c>
      <c r="G345" t="s">
        <v>59</v>
      </c>
      <c r="H345">
        <v>99999</v>
      </c>
      <c r="I345" t="s">
        <v>30</v>
      </c>
      <c r="J345" t="s">
        <v>60</v>
      </c>
      <c r="K345" t="s">
        <v>61</v>
      </c>
      <c r="L345">
        <v>41983</v>
      </c>
      <c r="M345" t="s">
        <v>33</v>
      </c>
      <c r="N345" t="s">
        <v>63</v>
      </c>
      <c r="O345" t="s">
        <v>57</v>
      </c>
      <c r="P345" t="s">
        <v>58</v>
      </c>
      <c r="Q345" t="s">
        <v>59</v>
      </c>
      <c r="R345">
        <v>99999</v>
      </c>
      <c r="S345" t="s">
        <v>30</v>
      </c>
      <c r="T345" t="s">
        <v>35</v>
      </c>
      <c r="U345" t="s">
        <v>64</v>
      </c>
      <c r="V345" t="s">
        <v>65</v>
      </c>
      <c r="W345">
        <v>9.1999999999999993</v>
      </c>
      <c r="X345">
        <v>40</v>
      </c>
      <c r="Y345">
        <v>368</v>
      </c>
      <c r="Z345">
        <v>38.640000000000008</v>
      </c>
    </row>
    <row r="346" spans="1:26" x14ac:dyDescent="0.35">
      <c r="A346">
        <v>1399</v>
      </c>
      <c r="B346">
        <v>41998</v>
      </c>
      <c r="C346">
        <v>25</v>
      </c>
      <c r="D346" t="s">
        <v>137</v>
      </c>
      <c r="E346" t="s">
        <v>138</v>
      </c>
      <c r="F346" t="s">
        <v>99</v>
      </c>
      <c r="G346" t="s">
        <v>100</v>
      </c>
      <c r="H346">
        <v>99999</v>
      </c>
      <c r="I346" t="s">
        <v>30</v>
      </c>
      <c r="J346" t="s">
        <v>101</v>
      </c>
      <c r="K346" t="s">
        <v>45</v>
      </c>
      <c r="L346">
        <v>42000</v>
      </c>
      <c r="M346" t="s">
        <v>46</v>
      </c>
      <c r="N346" t="s">
        <v>139</v>
      </c>
      <c r="O346" t="s">
        <v>138</v>
      </c>
      <c r="P346" t="s">
        <v>99</v>
      </c>
      <c r="Q346" t="s">
        <v>100</v>
      </c>
      <c r="R346">
        <v>99999</v>
      </c>
      <c r="S346" t="s">
        <v>30</v>
      </c>
      <c r="T346" t="s">
        <v>79</v>
      </c>
      <c r="U346" t="s">
        <v>146</v>
      </c>
      <c r="V346" t="s">
        <v>65</v>
      </c>
      <c r="W346">
        <v>10</v>
      </c>
      <c r="X346">
        <v>100</v>
      </c>
      <c r="Y346">
        <v>1000</v>
      </c>
      <c r="Z346">
        <v>98</v>
      </c>
    </row>
    <row r="347" spans="1:26" x14ac:dyDescent="0.35">
      <c r="A347">
        <v>1400</v>
      </c>
      <c r="B347">
        <v>41999</v>
      </c>
      <c r="C347">
        <v>26</v>
      </c>
      <c r="D347" t="s">
        <v>140</v>
      </c>
      <c r="E347" t="s">
        <v>141</v>
      </c>
      <c r="F347" t="s">
        <v>115</v>
      </c>
      <c r="G347" t="s">
        <v>116</v>
      </c>
      <c r="H347">
        <v>99999</v>
      </c>
      <c r="I347" t="s">
        <v>30</v>
      </c>
      <c r="J347" t="s">
        <v>94</v>
      </c>
      <c r="K347" t="s">
        <v>95</v>
      </c>
      <c r="L347">
        <v>42001</v>
      </c>
      <c r="M347" t="s">
        <v>62</v>
      </c>
      <c r="N347" t="s">
        <v>142</v>
      </c>
      <c r="O347" t="s">
        <v>141</v>
      </c>
      <c r="P347" t="s">
        <v>115</v>
      </c>
      <c r="Q347" t="s">
        <v>116</v>
      </c>
      <c r="R347">
        <v>99999</v>
      </c>
      <c r="S347" t="s">
        <v>30</v>
      </c>
      <c r="T347" t="s">
        <v>48</v>
      </c>
      <c r="U347" t="s">
        <v>147</v>
      </c>
      <c r="V347" t="s">
        <v>148</v>
      </c>
      <c r="W347">
        <v>21.35</v>
      </c>
      <c r="X347">
        <v>88</v>
      </c>
      <c r="Y347">
        <v>1878.8000000000002</v>
      </c>
      <c r="Z347">
        <v>184.12240000000003</v>
      </c>
    </row>
    <row r="348" spans="1:26" x14ac:dyDescent="0.35">
      <c r="A348">
        <v>1401</v>
      </c>
      <c r="B348">
        <v>41999</v>
      </c>
      <c r="C348">
        <v>26</v>
      </c>
      <c r="D348" t="s">
        <v>140</v>
      </c>
      <c r="E348" t="s">
        <v>141</v>
      </c>
      <c r="F348" t="s">
        <v>115</v>
      </c>
      <c r="G348" t="s">
        <v>116</v>
      </c>
      <c r="H348">
        <v>99999</v>
      </c>
      <c r="I348" t="s">
        <v>30</v>
      </c>
      <c r="J348" t="s">
        <v>94</v>
      </c>
      <c r="K348" t="s">
        <v>95</v>
      </c>
      <c r="L348">
        <v>42001</v>
      </c>
      <c r="M348" t="s">
        <v>62</v>
      </c>
      <c r="N348" t="s">
        <v>142</v>
      </c>
      <c r="O348" t="s">
        <v>141</v>
      </c>
      <c r="P348" t="s">
        <v>115</v>
      </c>
      <c r="Q348" t="s">
        <v>116</v>
      </c>
      <c r="R348">
        <v>99999</v>
      </c>
      <c r="S348" t="s">
        <v>30</v>
      </c>
      <c r="T348" t="s">
        <v>48</v>
      </c>
      <c r="U348" t="s">
        <v>80</v>
      </c>
      <c r="V348" t="s">
        <v>81</v>
      </c>
      <c r="W348">
        <v>9.65</v>
      </c>
      <c r="X348">
        <v>46</v>
      </c>
      <c r="Y348">
        <v>443.90000000000003</v>
      </c>
      <c r="Z348">
        <v>42.614400000000003</v>
      </c>
    </row>
    <row r="349" spans="1:26" x14ac:dyDescent="0.35">
      <c r="A349">
        <v>1402</v>
      </c>
      <c r="B349">
        <v>41999</v>
      </c>
      <c r="C349">
        <v>26</v>
      </c>
      <c r="D349" t="s">
        <v>140</v>
      </c>
      <c r="E349" t="s">
        <v>141</v>
      </c>
      <c r="F349" t="s">
        <v>115</v>
      </c>
      <c r="G349" t="s">
        <v>116</v>
      </c>
      <c r="H349">
        <v>99999</v>
      </c>
      <c r="I349" t="s">
        <v>30</v>
      </c>
      <c r="J349" t="s">
        <v>94</v>
      </c>
      <c r="K349" t="s">
        <v>95</v>
      </c>
      <c r="L349">
        <v>42001</v>
      </c>
      <c r="M349" t="s">
        <v>62</v>
      </c>
      <c r="N349" t="s">
        <v>142</v>
      </c>
      <c r="O349" t="s">
        <v>141</v>
      </c>
      <c r="P349" t="s">
        <v>115</v>
      </c>
      <c r="Q349" t="s">
        <v>116</v>
      </c>
      <c r="R349">
        <v>99999</v>
      </c>
      <c r="S349" t="s">
        <v>30</v>
      </c>
      <c r="T349" t="s">
        <v>48</v>
      </c>
      <c r="U349" t="s">
        <v>123</v>
      </c>
      <c r="V349" t="s">
        <v>124</v>
      </c>
      <c r="W349">
        <v>18.399999999999999</v>
      </c>
      <c r="X349">
        <v>93</v>
      </c>
      <c r="Y349">
        <v>1711.1999999999998</v>
      </c>
      <c r="Z349">
        <v>167.69759999999999</v>
      </c>
    </row>
    <row r="350" spans="1:26" x14ac:dyDescent="0.35">
      <c r="A350">
        <v>1403</v>
      </c>
      <c r="B350">
        <v>42002</v>
      </c>
      <c r="C350">
        <v>29</v>
      </c>
      <c r="D350" t="s">
        <v>66</v>
      </c>
      <c r="E350" t="s">
        <v>67</v>
      </c>
      <c r="F350" t="s">
        <v>68</v>
      </c>
      <c r="G350" t="s">
        <v>69</v>
      </c>
      <c r="H350">
        <v>99999</v>
      </c>
      <c r="I350" t="s">
        <v>30</v>
      </c>
      <c r="J350" t="s">
        <v>70</v>
      </c>
      <c r="K350" t="s">
        <v>32</v>
      </c>
      <c r="L350">
        <v>42004</v>
      </c>
      <c r="M350" t="s">
        <v>33</v>
      </c>
      <c r="N350" t="s">
        <v>71</v>
      </c>
      <c r="O350" t="s">
        <v>67</v>
      </c>
      <c r="P350" t="s">
        <v>68</v>
      </c>
      <c r="Q350" t="s">
        <v>69</v>
      </c>
      <c r="R350">
        <v>99999</v>
      </c>
      <c r="S350" t="s">
        <v>30</v>
      </c>
      <c r="T350" t="s">
        <v>35</v>
      </c>
      <c r="U350" t="s">
        <v>36</v>
      </c>
      <c r="V350" t="s">
        <v>37</v>
      </c>
      <c r="W350">
        <v>14</v>
      </c>
      <c r="X350">
        <v>96</v>
      </c>
      <c r="Y350">
        <v>1344</v>
      </c>
      <c r="Z350">
        <v>141.12</v>
      </c>
    </row>
    <row r="351" spans="1:26" x14ac:dyDescent="0.35">
      <c r="A351">
        <v>1404</v>
      </c>
      <c r="B351">
        <v>41979</v>
      </c>
      <c r="C351">
        <v>6</v>
      </c>
      <c r="D351" t="s">
        <v>82</v>
      </c>
      <c r="E351" t="s">
        <v>83</v>
      </c>
      <c r="F351" t="s">
        <v>84</v>
      </c>
      <c r="G351" t="s">
        <v>85</v>
      </c>
      <c r="H351">
        <v>99999</v>
      </c>
      <c r="I351" t="s">
        <v>30</v>
      </c>
      <c r="J351" t="s">
        <v>86</v>
      </c>
      <c r="K351" t="s">
        <v>61</v>
      </c>
      <c r="L351">
        <v>41981</v>
      </c>
      <c r="M351" t="s">
        <v>62</v>
      </c>
      <c r="N351" t="s">
        <v>87</v>
      </c>
      <c r="O351" t="s">
        <v>83</v>
      </c>
      <c r="P351" t="s">
        <v>84</v>
      </c>
      <c r="Q351" t="s">
        <v>85</v>
      </c>
      <c r="R351">
        <v>99999</v>
      </c>
      <c r="S351" t="s">
        <v>30</v>
      </c>
      <c r="T351" t="s">
        <v>35</v>
      </c>
      <c r="U351" t="s">
        <v>72</v>
      </c>
      <c r="V351" t="s">
        <v>73</v>
      </c>
      <c r="W351">
        <v>12.75</v>
      </c>
      <c r="X351">
        <v>12</v>
      </c>
      <c r="Y351">
        <v>153</v>
      </c>
      <c r="Z351">
        <v>16.065000000000001</v>
      </c>
    </row>
    <row r="352" spans="1:26" x14ac:dyDescent="0.35">
      <c r="A352">
        <v>1406</v>
      </c>
      <c r="B352">
        <v>41977</v>
      </c>
      <c r="C352">
        <v>4</v>
      </c>
      <c r="D352" t="s">
        <v>40</v>
      </c>
      <c r="E352" t="s">
        <v>41</v>
      </c>
      <c r="F352" t="s">
        <v>42</v>
      </c>
      <c r="G352" t="s">
        <v>43</v>
      </c>
      <c r="H352">
        <v>99999</v>
      </c>
      <c r="I352" t="s">
        <v>30</v>
      </c>
      <c r="J352" t="s">
        <v>44</v>
      </c>
      <c r="K352" t="s">
        <v>45</v>
      </c>
      <c r="L352">
        <v>41979</v>
      </c>
      <c r="M352" t="s">
        <v>46</v>
      </c>
      <c r="N352" t="s">
        <v>47</v>
      </c>
      <c r="O352" t="s">
        <v>41</v>
      </c>
      <c r="P352" t="s">
        <v>42</v>
      </c>
      <c r="Q352" t="s">
        <v>43</v>
      </c>
      <c r="R352">
        <v>99999</v>
      </c>
      <c r="S352" t="s">
        <v>30</v>
      </c>
      <c r="T352" t="s">
        <v>48</v>
      </c>
      <c r="U352" t="s">
        <v>149</v>
      </c>
      <c r="V352" t="s">
        <v>110</v>
      </c>
      <c r="W352">
        <v>81</v>
      </c>
      <c r="X352">
        <v>38</v>
      </c>
      <c r="Y352">
        <v>3078</v>
      </c>
      <c r="Z352">
        <v>292.41000000000003</v>
      </c>
    </row>
    <row r="353" spans="1:26" x14ac:dyDescent="0.35">
      <c r="A353">
        <v>1407</v>
      </c>
      <c r="B353">
        <v>41977</v>
      </c>
      <c r="C353">
        <v>4</v>
      </c>
      <c r="D353" t="s">
        <v>40</v>
      </c>
      <c r="E353" t="s">
        <v>41</v>
      </c>
      <c r="F353" t="s">
        <v>42</v>
      </c>
      <c r="G353" t="s">
        <v>43</v>
      </c>
      <c r="H353">
        <v>99999</v>
      </c>
      <c r="I353" t="s">
        <v>30</v>
      </c>
      <c r="J353" t="s">
        <v>44</v>
      </c>
      <c r="K353" t="s">
        <v>45</v>
      </c>
      <c r="L353">
        <v>41979</v>
      </c>
      <c r="M353" t="s">
        <v>46</v>
      </c>
      <c r="N353" t="s">
        <v>47</v>
      </c>
      <c r="O353" t="s">
        <v>41</v>
      </c>
      <c r="P353" t="s">
        <v>42</v>
      </c>
      <c r="Q353" t="s">
        <v>43</v>
      </c>
      <c r="R353">
        <v>99999</v>
      </c>
      <c r="S353" t="s">
        <v>30</v>
      </c>
      <c r="T353" t="s">
        <v>48</v>
      </c>
      <c r="U353" t="s">
        <v>150</v>
      </c>
      <c r="V353" t="s">
        <v>151</v>
      </c>
      <c r="W353">
        <v>7</v>
      </c>
      <c r="X353">
        <v>42</v>
      </c>
      <c r="Y353">
        <v>294</v>
      </c>
      <c r="Z353">
        <v>29.106000000000002</v>
      </c>
    </row>
    <row r="354" spans="1:26" x14ac:dyDescent="0.35">
      <c r="A354">
        <v>1409</v>
      </c>
      <c r="B354">
        <v>41981</v>
      </c>
      <c r="C354">
        <v>8</v>
      </c>
      <c r="D354" t="s">
        <v>56</v>
      </c>
      <c r="E354" t="s">
        <v>57</v>
      </c>
      <c r="F354" t="s">
        <v>58</v>
      </c>
      <c r="G354" t="s">
        <v>59</v>
      </c>
      <c r="H354">
        <v>99999</v>
      </c>
      <c r="I354" t="s">
        <v>30</v>
      </c>
      <c r="J354" t="s">
        <v>60</v>
      </c>
      <c r="K354" t="s">
        <v>61</v>
      </c>
      <c r="L354">
        <v>41983</v>
      </c>
      <c r="M354" t="s">
        <v>62</v>
      </c>
      <c r="N354" t="s">
        <v>63</v>
      </c>
      <c r="O354" t="s">
        <v>57</v>
      </c>
      <c r="P354" t="s">
        <v>58</v>
      </c>
      <c r="Q354" t="s">
        <v>59</v>
      </c>
      <c r="R354">
        <v>99999</v>
      </c>
      <c r="S354" t="s">
        <v>30</v>
      </c>
      <c r="T354" t="s">
        <v>48</v>
      </c>
      <c r="U354" t="s">
        <v>133</v>
      </c>
      <c r="V354" t="s">
        <v>134</v>
      </c>
      <c r="W354">
        <v>34.799999999999997</v>
      </c>
      <c r="X354">
        <v>100</v>
      </c>
      <c r="Y354">
        <v>3479.9999999999995</v>
      </c>
      <c r="Z354">
        <v>344.52</v>
      </c>
    </row>
    <row r="355" spans="1:26" x14ac:dyDescent="0.35">
      <c r="A355">
        <v>1412</v>
      </c>
      <c r="B355">
        <v>41976</v>
      </c>
      <c r="C355">
        <v>3</v>
      </c>
      <c r="D355" t="s">
        <v>74</v>
      </c>
      <c r="E355" t="s">
        <v>75</v>
      </c>
      <c r="F355" t="s">
        <v>76</v>
      </c>
      <c r="G355" t="s">
        <v>77</v>
      </c>
      <c r="H355">
        <v>99999</v>
      </c>
      <c r="I355" t="s">
        <v>30</v>
      </c>
      <c r="J355" t="s">
        <v>31</v>
      </c>
      <c r="K355" t="s">
        <v>32</v>
      </c>
      <c r="L355">
        <v>41978</v>
      </c>
      <c r="M355" t="s">
        <v>33</v>
      </c>
      <c r="N355" t="s">
        <v>78</v>
      </c>
      <c r="O355" t="s">
        <v>75</v>
      </c>
      <c r="P355" t="s">
        <v>76</v>
      </c>
      <c r="Q355" t="s">
        <v>77</v>
      </c>
      <c r="R355">
        <v>99999</v>
      </c>
      <c r="S355" t="s">
        <v>30</v>
      </c>
      <c r="T355" t="s">
        <v>79</v>
      </c>
      <c r="U355" t="s">
        <v>135</v>
      </c>
      <c r="V355" t="s">
        <v>112</v>
      </c>
      <c r="W355">
        <v>10</v>
      </c>
      <c r="X355">
        <v>89</v>
      </c>
      <c r="Y355">
        <v>890</v>
      </c>
      <c r="Z355">
        <v>87.22</v>
      </c>
    </row>
    <row r="356" spans="1:26" x14ac:dyDescent="0.35">
      <c r="A356">
        <v>1413</v>
      </c>
      <c r="B356">
        <v>41976</v>
      </c>
      <c r="C356">
        <v>3</v>
      </c>
      <c r="D356" t="s">
        <v>74</v>
      </c>
      <c r="E356" t="s">
        <v>75</v>
      </c>
      <c r="F356" t="s">
        <v>76</v>
      </c>
      <c r="G356" t="s">
        <v>77</v>
      </c>
      <c r="H356">
        <v>99999</v>
      </c>
      <c r="I356" t="s">
        <v>30</v>
      </c>
      <c r="J356" t="s">
        <v>31</v>
      </c>
      <c r="K356" t="s">
        <v>32</v>
      </c>
      <c r="L356">
        <v>41978</v>
      </c>
      <c r="M356" t="s">
        <v>33</v>
      </c>
      <c r="N356" t="s">
        <v>78</v>
      </c>
      <c r="O356" t="s">
        <v>75</v>
      </c>
      <c r="P356" t="s">
        <v>76</v>
      </c>
      <c r="Q356" t="s">
        <v>77</v>
      </c>
      <c r="R356">
        <v>99999</v>
      </c>
      <c r="S356" t="s">
        <v>30</v>
      </c>
      <c r="T356" t="s">
        <v>79</v>
      </c>
      <c r="U356" t="s">
        <v>88</v>
      </c>
      <c r="V356" t="s">
        <v>89</v>
      </c>
      <c r="W356">
        <v>40</v>
      </c>
      <c r="X356">
        <v>12</v>
      </c>
      <c r="Y356">
        <v>480</v>
      </c>
      <c r="Z356">
        <v>46.56</v>
      </c>
    </row>
    <row r="357" spans="1:26" x14ac:dyDescent="0.35">
      <c r="A357">
        <v>1417</v>
      </c>
      <c r="B357">
        <v>41983</v>
      </c>
      <c r="C357">
        <v>10</v>
      </c>
      <c r="D357" t="s">
        <v>97</v>
      </c>
      <c r="E357" t="s">
        <v>98</v>
      </c>
      <c r="F357" t="s">
        <v>99</v>
      </c>
      <c r="G357" t="s">
        <v>100</v>
      </c>
      <c r="H357">
        <v>99999</v>
      </c>
      <c r="I357" t="s">
        <v>30</v>
      </c>
      <c r="J357" t="s">
        <v>101</v>
      </c>
      <c r="K357" t="s">
        <v>45</v>
      </c>
      <c r="L357">
        <v>41985</v>
      </c>
      <c r="M357" t="s">
        <v>33</v>
      </c>
      <c r="N357" t="s">
        <v>102</v>
      </c>
      <c r="O357" t="s">
        <v>98</v>
      </c>
      <c r="P357" t="s">
        <v>99</v>
      </c>
      <c r="Q357" t="s">
        <v>100</v>
      </c>
      <c r="R357">
        <v>99999</v>
      </c>
      <c r="S357" t="s">
        <v>30</v>
      </c>
      <c r="T357" t="s">
        <v>48</v>
      </c>
      <c r="U357" t="s">
        <v>136</v>
      </c>
      <c r="V357" t="s">
        <v>39</v>
      </c>
      <c r="W357">
        <v>10</v>
      </c>
      <c r="X357">
        <v>97</v>
      </c>
      <c r="Y357">
        <v>970</v>
      </c>
      <c r="Z357">
        <v>100.88000000000001</v>
      </c>
    </row>
    <row r="358" spans="1:26" x14ac:dyDescent="0.35">
      <c r="A358">
        <v>1419</v>
      </c>
      <c r="B358">
        <v>41983</v>
      </c>
      <c r="C358">
        <v>10</v>
      </c>
      <c r="D358" t="s">
        <v>97</v>
      </c>
      <c r="E358" t="s">
        <v>98</v>
      </c>
      <c r="F358" t="s">
        <v>99</v>
      </c>
      <c r="G358" t="s">
        <v>100</v>
      </c>
      <c r="H358">
        <v>99999</v>
      </c>
      <c r="I358" t="s">
        <v>30</v>
      </c>
      <c r="J358" t="s">
        <v>101</v>
      </c>
      <c r="K358" t="s">
        <v>45</v>
      </c>
      <c r="M358" t="s">
        <v>46</v>
      </c>
      <c r="N358" t="s">
        <v>102</v>
      </c>
      <c r="O358" t="s">
        <v>98</v>
      </c>
      <c r="P358" t="s">
        <v>99</v>
      </c>
      <c r="Q358" t="s">
        <v>100</v>
      </c>
      <c r="R358">
        <v>99999</v>
      </c>
      <c r="S358" t="s">
        <v>30</v>
      </c>
      <c r="U358" t="s">
        <v>38</v>
      </c>
      <c r="V358" t="s">
        <v>39</v>
      </c>
      <c r="W358">
        <v>3.5</v>
      </c>
      <c r="X358">
        <v>53</v>
      </c>
      <c r="Y358">
        <v>185.5</v>
      </c>
      <c r="Z358">
        <v>17.622499999999999</v>
      </c>
    </row>
    <row r="359" spans="1:26" x14ac:dyDescent="0.35">
      <c r="A359">
        <v>1420</v>
      </c>
      <c r="B359">
        <v>41984</v>
      </c>
      <c r="C359">
        <v>11</v>
      </c>
      <c r="D359" t="s">
        <v>113</v>
      </c>
      <c r="E359" t="s">
        <v>114</v>
      </c>
      <c r="F359" t="s">
        <v>115</v>
      </c>
      <c r="G359" t="s">
        <v>116</v>
      </c>
      <c r="H359">
        <v>99999</v>
      </c>
      <c r="I359" t="s">
        <v>30</v>
      </c>
      <c r="J359" t="s">
        <v>94</v>
      </c>
      <c r="K359" t="s">
        <v>95</v>
      </c>
      <c r="M359" t="s">
        <v>62</v>
      </c>
      <c r="N359" t="s">
        <v>117</v>
      </c>
      <c r="O359" t="s">
        <v>114</v>
      </c>
      <c r="P359" t="s">
        <v>115</v>
      </c>
      <c r="Q359" t="s">
        <v>116</v>
      </c>
      <c r="R359">
        <v>99999</v>
      </c>
      <c r="S359" t="s">
        <v>30</v>
      </c>
      <c r="U359" t="s">
        <v>88</v>
      </c>
      <c r="V359" t="s">
        <v>89</v>
      </c>
      <c r="W359">
        <v>40</v>
      </c>
      <c r="X359">
        <v>61</v>
      </c>
      <c r="Y359">
        <v>2440</v>
      </c>
      <c r="Z359">
        <v>248.88</v>
      </c>
    </row>
    <row r="360" spans="1:26" x14ac:dyDescent="0.35">
      <c r="A360">
        <v>1421</v>
      </c>
      <c r="B360">
        <v>41974</v>
      </c>
      <c r="C360">
        <v>1</v>
      </c>
      <c r="D360" t="s">
        <v>118</v>
      </c>
      <c r="E360" t="s">
        <v>119</v>
      </c>
      <c r="F360" t="s">
        <v>120</v>
      </c>
      <c r="G360" t="s">
        <v>121</v>
      </c>
      <c r="H360">
        <v>99999</v>
      </c>
      <c r="I360" t="s">
        <v>30</v>
      </c>
      <c r="J360" t="s">
        <v>60</v>
      </c>
      <c r="K360" t="s">
        <v>61</v>
      </c>
      <c r="M360" t="s">
        <v>62</v>
      </c>
      <c r="N360" t="s">
        <v>122</v>
      </c>
      <c r="O360" t="s">
        <v>119</v>
      </c>
      <c r="P360" t="s">
        <v>120</v>
      </c>
      <c r="Q360" t="s">
        <v>121</v>
      </c>
      <c r="R360">
        <v>99999</v>
      </c>
      <c r="S360" t="s">
        <v>30</v>
      </c>
      <c r="U360" t="s">
        <v>123</v>
      </c>
      <c r="V360" t="s">
        <v>124</v>
      </c>
      <c r="W360">
        <v>18.399999999999999</v>
      </c>
      <c r="X360">
        <v>45</v>
      </c>
      <c r="Y360">
        <v>827.99999999999989</v>
      </c>
      <c r="Z360">
        <v>81.143999999999991</v>
      </c>
    </row>
    <row r="361" spans="1:26" x14ac:dyDescent="0.35">
      <c r="A361">
        <v>1422</v>
      </c>
      <c r="B361">
        <v>42001</v>
      </c>
      <c r="C361">
        <v>28</v>
      </c>
      <c r="D361" t="s">
        <v>90</v>
      </c>
      <c r="E361" t="s">
        <v>91</v>
      </c>
      <c r="F361" t="s">
        <v>92</v>
      </c>
      <c r="G361" t="s">
        <v>93</v>
      </c>
      <c r="H361">
        <v>99999</v>
      </c>
      <c r="I361" t="s">
        <v>30</v>
      </c>
      <c r="J361" t="s">
        <v>94</v>
      </c>
      <c r="K361" t="s">
        <v>95</v>
      </c>
      <c r="L361">
        <v>42003</v>
      </c>
      <c r="M361" t="s">
        <v>62</v>
      </c>
      <c r="N361" t="s">
        <v>96</v>
      </c>
      <c r="O361" t="s">
        <v>91</v>
      </c>
      <c r="P361" t="s">
        <v>92</v>
      </c>
      <c r="Q361" t="s">
        <v>93</v>
      </c>
      <c r="R361">
        <v>99999</v>
      </c>
      <c r="S361" t="s">
        <v>30</v>
      </c>
      <c r="T361" t="s">
        <v>48</v>
      </c>
      <c r="U361" t="s">
        <v>55</v>
      </c>
      <c r="V361" t="s">
        <v>37</v>
      </c>
      <c r="W361">
        <v>46</v>
      </c>
      <c r="X361">
        <v>43</v>
      </c>
      <c r="Y361">
        <v>1978</v>
      </c>
      <c r="Z361">
        <v>197.8</v>
      </c>
    </row>
    <row r="362" spans="1:26" x14ac:dyDescent="0.35">
      <c r="A362">
        <v>1423</v>
      </c>
      <c r="B362">
        <v>41982</v>
      </c>
      <c r="C362">
        <v>9</v>
      </c>
      <c r="D362" t="s">
        <v>125</v>
      </c>
      <c r="E362" t="s">
        <v>126</v>
      </c>
      <c r="F362" t="s">
        <v>127</v>
      </c>
      <c r="G362" t="s">
        <v>128</v>
      </c>
      <c r="H362">
        <v>99999</v>
      </c>
      <c r="I362" t="s">
        <v>30</v>
      </c>
      <c r="J362" t="s">
        <v>129</v>
      </c>
      <c r="K362" t="s">
        <v>32</v>
      </c>
      <c r="L362">
        <v>41984</v>
      </c>
      <c r="M362" t="s">
        <v>46</v>
      </c>
      <c r="N362" t="s">
        <v>130</v>
      </c>
      <c r="O362" t="s">
        <v>126</v>
      </c>
      <c r="P362" t="s">
        <v>127</v>
      </c>
      <c r="Q362" t="s">
        <v>128</v>
      </c>
      <c r="R362">
        <v>99999</v>
      </c>
      <c r="S362" t="s">
        <v>30</v>
      </c>
      <c r="T362" t="s">
        <v>35</v>
      </c>
      <c r="U362" t="s">
        <v>80</v>
      </c>
      <c r="V362" t="s">
        <v>81</v>
      </c>
      <c r="W362">
        <v>9.65</v>
      </c>
      <c r="X362">
        <v>18</v>
      </c>
      <c r="Y362">
        <v>173.70000000000002</v>
      </c>
      <c r="Z362">
        <v>16.5015</v>
      </c>
    </row>
    <row r="363" spans="1:26" x14ac:dyDescent="0.35">
      <c r="A363">
        <v>1424</v>
      </c>
      <c r="B363">
        <v>41979</v>
      </c>
      <c r="C363">
        <v>6</v>
      </c>
      <c r="D363" t="s">
        <v>82</v>
      </c>
      <c r="E363" t="s">
        <v>83</v>
      </c>
      <c r="F363" t="s">
        <v>84</v>
      </c>
      <c r="G363" t="s">
        <v>85</v>
      </c>
      <c r="H363">
        <v>99999</v>
      </c>
      <c r="I363" t="s">
        <v>30</v>
      </c>
      <c r="J363" t="s">
        <v>86</v>
      </c>
      <c r="K363" t="s">
        <v>61</v>
      </c>
      <c r="L363">
        <v>41981</v>
      </c>
      <c r="M363" t="s">
        <v>33</v>
      </c>
      <c r="N363" t="s">
        <v>87</v>
      </c>
      <c r="O363" t="s">
        <v>83</v>
      </c>
      <c r="P363" t="s">
        <v>84</v>
      </c>
      <c r="Q363" t="s">
        <v>85</v>
      </c>
      <c r="R363">
        <v>99999</v>
      </c>
      <c r="S363" t="s">
        <v>30</v>
      </c>
      <c r="T363" t="s">
        <v>48</v>
      </c>
      <c r="U363" t="s">
        <v>72</v>
      </c>
      <c r="V363" t="s">
        <v>73</v>
      </c>
      <c r="W363">
        <v>12.75</v>
      </c>
      <c r="X363">
        <v>41</v>
      </c>
      <c r="Y363">
        <v>522.75</v>
      </c>
      <c r="Z363">
        <v>50.706750000000007</v>
      </c>
    </row>
    <row r="364" spans="1:26" x14ac:dyDescent="0.35">
      <c r="A364">
        <v>1425</v>
      </c>
      <c r="B364">
        <v>41981</v>
      </c>
      <c r="C364">
        <v>8</v>
      </c>
      <c r="D364" t="s">
        <v>56</v>
      </c>
      <c r="E364" t="s">
        <v>57</v>
      </c>
      <c r="F364" t="s">
        <v>58</v>
      </c>
      <c r="G364" t="s">
        <v>59</v>
      </c>
      <c r="H364">
        <v>99999</v>
      </c>
      <c r="I364" t="s">
        <v>30</v>
      </c>
      <c r="J364" t="s">
        <v>60</v>
      </c>
      <c r="K364" t="s">
        <v>61</v>
      </c>
      <c r="L364">
        <v>41983</v>
      </c>
      <c r="M364" t="s">
        <v>33</v>
      </c>
      <c r="N364" t="s">
        <v>63</v>
      </c>
      <c r="O364" t="s">
        <v>57</v>
      </c>
      <c r="P364" t="s">
        <v>58</v>
      </c>
      <c r="Q364" t="s">
        <v>59</v>
      </c>
      <c r="R364">
        <v>99999</v>
      </c>
      <c r="S364" t="s">
        <v>30</v>
      </c>
      <c r="T364" t="s">
        <v>35</v>
      </c>
      <c r="U364" t="s">
        <v>72</v>
      </c>
      <c r="V364" t="s">
        <v>73</v>
      </c>
      <c r="W364">
        <v>12.75</v>
      </c>
      <c r="X364">
        <v>19</v>
      </c>
      <c r="Y364">
        <v>242.25</v>
      </c>
      <c r="Z364">
        <v>23.982750000000003</v>
      </c>
    </row>
    <row r="365" spans="1:26" x14ac:dyDescent="0.35">
      <c r="A365">
        <v>1426</v>
      </c>
      <c r="B365">
        <v>41998</v>
      </c>
      <c r="C365">
        <v>25</v>
      </c>
      <c r="D365" t="s">
        <v>137</v>
      </c>
      <c r="E365" t="s">
        <v>138</v>
      </c>
      <c r="F365" t="s">
        <v>99</v>
      </c>
      <c r="G365" t="s">
        <v>100</v>
      </c>
      <c r="H365">
        <v>99999</v>
      </c>
      <c r="I365" t="s">
        <v>30</v>
      </c>
      <c r="J365" t="s">
        <v>101</v>
      </c>
      <c r="K365" t="s">
        <v>45</v>
      </c>
      <c r="L365">
        <v>42000</v>
      </c>
      <c r="M365" t="s">
        <v>46</v>
      </c>
      <c r="N365" t="s">
        <v>139</v>
      </c>
      <c r="O365" t="s">
        <v>138</v>
      </c>
      <c r="P365" t="s">
        <v>99</v>
      </c>
      <c r="Q365" t="s">
        <v>100</v>
      </c>
      <c r="R365">
        <v>99999</v>
      </c>
      <c r="S365" t="s">
        <v>30</v>
      </c>
      <c r="T365" t="s">
        <v>79</v>
      </c>
      <c r="U365" t="s">
        <v>111</v>
      </c>
      <c r="V365" t="s">
        <v>112</v>
      </c>
      <c r="W365">
        <v>22</v>
      </c>
      <c r="X365">
        <v>65</v>
      </c>
      <c r="Y365">
        <v>1430</v>
      </c>
      <c r="Z365">
        <v>138.71</v>
      </c>
    </row>
    <row r="366" spans="1:26" x14ac:dyDescent="0.35">
      <c r="A366">
        <v>1427</v>
      </c>
      <c r="B366">
        <v>41999</v>
      </c>
      <c r="C366">
        <v>26</v>
      </c>
      <c r="D366" t="s">
        <v>140</v>
      </c>
      <c r="E366" t="s">
        <v>141</v>
      </c>
      <c r="F366" t="s">
        <v>115</v>
      </c>
      <c r="G366" t="s">
        <v>116</v>
      </c>
      <c r="H366">
        <v>99999</v>
      </c>
      <c r="I366" t="s">
        <v>30</v>
      </c>
      <c r="J366" t="s">
        <v>94</v>
      </c>
      <c r="K366" t="s">
        <v>95</v>
      </c>
      <c r="L366">
        <v>42001</v>
      </c>
      <c r="M366" t="s">
        <v>62</v>
      </c>
      <c r="N366" t="s">
        <v>142</v>
      </c>
      <c r="O366" t="s">
        <v>141</v>
      </c>
      <c r="P366" t="s">
        <v>115</v>
      </c>
      <c r="Q366" t="s">
        <v>116</v>
      </c>
      <c r="R366">
        <v>99999</v>
      </c>
      <c r="S366" t="s">
        <v>30</v>
      </c>
      <c r="T366" t="s">
        <v>48</v>
      </c>
      <c r="U366" t="s">
        <v>109</v>
      </c>
      <c r="V366" t="s">
        <v>110</v>
      </c>
      <c r="W366">
        <v>25</v>
      </c>
      <c r="X366">
        <v>13</v>
      </c>
      <c r="Y366">
        <v>325</v>
      </c>
      <c r="Z366">
        <v>32.174999999999997</v>
      </c>
    </row>
    <row r="367" spans="1:26" x14ac:dyDescent="0.35">
      <c r="A367">
        <v>1428</v>
      </c>
      <c r="B367">
        <v>42002</v>
      </c>
      <c r="C367">
        <v>29</v>
      </c>
      <c r="D367" t="s">
        <v>66</v>
      </c>
      <c r="E367" t="s">
        <v>67</v>
      </c>
      <c r="F367" t="s">
        <v>68</v>
      </c>
      <c r="G367" t="s">
        <v>69</v>
      </c>
      <c r="H367">
        <v>99999</v>
      </c>
      <c r="I367" t="s">
        <v>30</v>
      </c>
      <c r="J367" t="s">
        <v>70</v>
      </c>
      <c r="K367" t="s">
        <v>32</v>
      </c>
      <c r="L367">
        <v>42004</v>
      </c>
      <c r="M367" t="s">
        <v>33</v>
      </c>
      <c r="N367" t="s">
        <v>71</v>
      </c>
      <c r="O367" t="s">
        <v>67</v>
      </c>
      <c r="P367" t="s">
        <v>68</v>
      </c>
      <c r="Q367" t="s">
        <v>69</v>
      </c>
      <c r="R367">
        <v>99999</v>
      </c>
      <c r="S367" t="s">
        <v>30</v>
      </c>
      <c r="T367" t="s">
        <v>35</v>
      </c>
      <c r="U367" t="s">
        <v>143</v>
      </c>
      <c r="V367" t="s">
        <v>144</v>
      </c>
      <c r="W367">
        <v>39</v>
      </c>
      <c r="X367">
        <v>54</v>
      </c>
      <c r="Y367">
        <v>2106</v>
      </c>
      <c r="Z367">
        <v>214.81200000000004</v>
      </c>
    </row>
    <row r="368" spans="1:26" x14ac:dyDescent="0.35">
      <c r="A368">
        <v>1429</v>
      </c>
      <c r="B368">
        <v>41979</v>
      </c>
      <c r="C368">
        <v>6</v>
      </c>
      <c r="D368" t="s">
        <v>82</v>
      </c>
      <c r="E368" t="s">
        <v>83</v>
      </c>
      <c r="F368" t="s">
        <v>84</v>
      </c>
      <c r="G368" t="s">
        <v>85</v>
      </c>
      <c r="H368">
        <v>99999</v>
      </c>
      <c r="I368" t="s">
        <v>30</v>
      </c>
      <c r="J368" t="s">
        <v>86</v>
      </c>
      <c r="K368" t="s">
        <v>61</v>
      </c>
      <c r="L368">
        <v>41981</v>
      </c>
      <c r="M368" t="s">
        <v>62</v>
      </c>
      <c r="N368" t="s">
        <v>87</v>
      </c>
      <c r="O368" t="s">
        <v>83</v>
      </c>
      <c r="P368" t="s">
        <v>84</v>
      </c>
      <c r="Q368" t="s">
        <v>85</v>
      </c>
      <c r="R368">
        <v>99999</v>
      </c>
      <c r="S368" t="s">
        <v>30</v>
      </c>
      <c r="T368" t="s">
        <v>35</v>
      </c>
      <c r="U368" t="s">
        <v>49</v>
      </c>
      <c r="V368" t="s">
        <v>39</v>
      </c>
      <c r="W368">
        <v>30</v>
      </c>
      <c r="X368">
        <v>33</v>
      </c>
      <c r="Y368">
        <v>990</v>
      </c>
      <c r="Z368">
        <v>95.039999999999992</v>
      </c>
    </row>
    <row r="369" spans="1:26" x14ac:dyDescent="0.35">
      <c r="A369">
        <v>1430</v>
      </c>
      <c r="B369">
        <v>41979</v>
      </c>
      <c r="C369">
        <v>6</v>
      </c>
      <c r="D369" t="s">
        <v>82</v>
      </c>
      <c r="E369" t="s">
        <v>83</v>
      </c>
      <c r="F369" t="s">
        <v>84</v>
      </c>
      <c r="G369" t="s">
        <v>85</v>
      </c>
      <c r="H369">
        <v>99999</v>
      </c>
      <c r="I369" t="s">
        <v>30</v>
      </c>
      <c r="J369" t="s">
        <v>86</v>
      </c>
      <c r="K369" t="s">
        <v>61</v>
      </c>
      <c r="L369">
        <v>41981</v>
      </c>
      <c r="M369" t="s">
        <v>62</v>
      </c>
      <c r="N369" t="s">
        <v>87</v>
      </c>
      <c r="O369" t="s">
        <v>83</v>
      </c>
      <c r="P369" t="s">
        <v>84</v>
      </c>
      <c r="Q369" t="s">
        <v>85</v>
      </c>
      <c r="R369">
        <v>99999</v>
      </c>
      <c r="S369" t="s">
        <v>30</v>
      </c>
      <c r="T369" t="s">
        <v>35</v>
      </c>
      <c r="U369" t="s">
        <v>50</v>
      </c>
      <c r="V369" t="s">
        <v>39</v>
      </c>
      <c r="W369">
        <v>53</v>
      </c>
      <c r="X369">
        <v>34</v>
      </c>
      <c r="Y369">
        <v>1802</v>
      </c>
      <c r="Z369">
        <v>185.60600000000002</v>
      </c>
    </row>
    <row r="370" spans="1:26" x14ac:dyDescent="0.35">
      <c r="A370">
        <v>1431</v>
      </c>
      <c r="B370">
        <v>41977</v>
      </c>
      <c r="C370">
        <v>4</v>
      </c>
      <c r="D370" t="s">
        <v>40</v>
      </c>
      <c r="E370" t="s">
        <v>41</v>
      </c>
      <c r="F370" t="s">
        <v>42</v>
      </c>
      <c r="G370" t="s">
        <v>43</v>
      </c>
      <c r="H370">
        <v>99999</v>
      </c>
      <c r="I370" t="s">
        <v>30</v>
      </c>
      <c r="J370" t="s">
        <v>44</v>
      </c>
      <c r="K370" t="s">
        <v>45</v>
      </c>
      <c r="N370" t="s">
        <v>47</v>
      </c>
      <c r="O370" t="s">
        <v>41</v>
      </c>
      <c r="P370" t="s">
        <v>42</v>
      </c>
      <c r="Q370" t="s">
        <v>43</v>
      </c>
      <c r="R370">
        <v>99999</v>
      </c>
      <c r="S370" t="s">
        <v>30</v>
      </c>
      <c r="U370" t="s">
        <v>145</v>
      </c>
      <c r="V370" t="s">
        <v>132</v>
      </c>
      <c r="W370">
        <v>38</v>
      </c>
      <c r="X370">
        <v>59</v>
      </c>
      <c r="Y370">
        <v>2242</v>
      </c>
      <c r="Z370">
        <v>226.44200000000001</v>
      </c>
    </row>
    <row r="371" spans="1:26" x14ac:dyDescent="0.35">
      <c r="A371">
        <v>1432</v>
      </c>
      <c r="B371">
        <v>41976</v>
      </c>
      <c r="C371">
        <v>3</v>
      </c>
      <c r="D371" t="s">
        <v>74</v>
      </c>
      <c r="E371" t="s">
        <v>75</v>
      </c>
      <c r="F371" t="s">
        <v>76</v>
      </c>
      <c r="G371" t="s">
        <v>77</v>
      </c>
      <c r="H371">
        <v>99999</v>
      </c>
      <c r="I371" t="s">
        <v>30</v>
      </c>
      <c r="J371" t="s">
        <v>31</v>
      </c>
      <c r="K371" t="s">
        <v>32</v>
      </c>
      <c r="N371" t="s">
        <v>78</v>
      </c>
      <c r="O371" t="s">
        <v>75</v>
      </c>
      <c r="P371" t="s">
        <v>76</v>
      </c>
      <c r="Q371" t="s">
        <v>77</v>
      </c>
      <c r="R371">
        <v>99999</v>
      </c>
      <c r="S371" t="s">
        <v>30</v>
      </c>
      <c r="U371" t="s">
        <v>103</v>
      </c>
      <c r="V371" t="s">
        <v>37</v>
      </c>
      <c r="W371">
        <v>2.99</v>
      </c>
      <c r="X371">
        <v>24</v>
      </c>
      <c r="Y371">
        <v>71.760000000000005</v>
      </c>
      <c r="Z371">
        <v>7.1042400000000008</v>
      </c>
    </row>
  </sheetData>
  <autoFilter ref="A2:Z371" xr:uid="{00000000-0009-0000-0000-000001000000}"/>
  <mergeCells count="1">
    <mergeCell ref="B1:Q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R9" sqref="R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P53" sqref="P53:P54"/>
    </sheetView>
  </sheetViews>
  <sheetFormatPr defaultRowHeight="14.5" x14ac:dyDescent="0.35"/>
  <sheetData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6"/>
  <sheetViews>
    <sheetView workbookViewId="0">
      <selection activeCell="I20" sqref="I20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2" t="s">
        <v>168</v>
      </c>
      <c r="B3" t="s">
        <v>167</v>
      </c>
    </row>
    <row r="4" spans="1:2" x14ac:dyDescent="0.35">
      <c r="A4" s="3" t="s">
        <v>170</v>
      </c>
      <c r="B4">
        <v>32907.839999999997</v>
      </c>
    </row>
    <row r="5" spans="1:2" x14ac:dyDescent="0.35">
      <c r="A5" s="3" t="s">
        <v>171</v>
      </c>
      <c r="B5">
        <v>19985.5</v>
      </c>
    </row>
    <row r="6" spans="1:2" x14ac:dyDescent="0.35">
      <c r="A6" s="3" t="s">
        <v>172</v>
      </c>
      <c r="B6">
        <v>30852.6</v>
      </c>
    </row>
    <row r="7" spans="1:2" x14ac:dyDescent="0.35">
      <c r="A7" s="3" t="s">
        <v>173</v>
      </c>
      <c r="B7">
        <v>20771.789999999997</v>
      </c>
    </row>
    <row r="8" spans="1:2" x14ac:dyDescent="0.35">
      <c r="A8" s="3" t="s">
        <v>174</v>
      </c>
      <c r="B8">
        <v>34307.049999999996</v>
      </c>
    </row>
    <row r="9" spans="1:2" x14ac:dyDescent="0.35">
      <c r="A9" s="3" t="s">
        <v>175</v>
      </c>
      <c r="B9">
        <v>55601.61</v>
      </c>
    </row>
    <row r="10" spans="1:2" x14ac:dyDescent="0.35">
      <c r="A10" s="3" t="s">
        <v>176</v>
      </c>
      <c r="B10">
        <v>27318.539999999997</v>
      </c>
    </row>
    <row r="11" spans="1:2" x14ac:dyDescent="0.35">
      <c r="A11" s="3" t="s">
        <v>177</v>
      </c>
      <c r="B11">
        <v>29921.459999999995</v>
      </c>
    </row>
    <row r="12" spans="1:2" x14ac:dyDescent="0.35">
      <c r="A12" s="3" t="s">
        <v>178</v>
      </c>
      <c r="B12">
        <v>31949.97</v>
      </c>
    </row>
    <row r="13" spans="1:2" x14ac:dyDescent="0.35">
      <c r="A13" s="3" t="s">
        <v>179</v>
      </c>
      <c r="B13">
        <v>53033.59</v>
      </c>
    </row>
    <row r="14" spans="1:2" x14ac:dyDescent="0.35">
      <c r="A14" s="3" t="s">
        <v>180</v>
      </c>
      <c r="B14">
        <v>31773.429999999997</v>
      </c>
    </row>
    <row r="15" spans="1:2" x14ac:dyDescent="0.35">
      <c r="A15" s="3" t="s">
        <v>181</v>
      </c>
      <c r="B15">
        <v>66642.78</v>
      </c>
    </row>
    <row r="16" spans="1:2" x14ac:dyDescent="0.35">
      <c r="A16" s="3" t="s">
        <v>169</v>
      </c>
      <c r="B16">
        <v>435066.15999999992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12"/>
  <sheetViews>
    <sheetView workbookViewId="0">
      <selection activeCell="N7" sqref="N7"/>
    </sheetView>
  </sheetViews>
  <sheetFormatPr defaultRowHeight="14.5" x14ac:dyDescent="0.35"/>
  <cols>
    <col min="1" max="1" width="15.26953125" bestFit="1" customWidth="1"/>
    <col min="2" max="2" width="14.36328125" style="5" bestFit="1" customWidth="1"/>
  </cols>
  <sheetData>
    <row r="3" spans="1:2" x14ac:dyDescent="0.35">
      <c r="A3" s="2" t="s">
        <v>168</v>
      </c>
      <c r="B3" s="5" t="s">
        <v>167</v>
      </c>
    </row>
    <row r="4" spans="1:2" x14ac:dyDescent="0.35">
      <c r="A4" s="3" t="s">
        <v>70</v>
      </c>
      <c r="B4" s="5">
        <v>16350.5</v>
      </c>
    </row>
    <row r="5" spans="1:2" x14ac:dyDescent="0.35">
      <c r="A5" s="3" t="s">
        <v>129</v>
      </c>
      <c r="B5" s="5">
        <v>32530.6</v>
      </c>
    </row>
    <row r="6" spans="1:2" x14ac:dyDescent="0.35">
      <c r="A6" s="3" t="s">
        <v>86</v>
      </c>
      <c r="B6" s="5">
        <v>37428</v>
      </c>
    </row>
    <row r="7" spans="1:2" x14ac:dyDescent="0.35">
      <c r="A7" s="3" t="s">
        <v>101</v>
      </c>
      <c r="B7" s="5">
        <v>41095.01</v>
      </c>
    </row>
    <row r="8" spans="1:2" x14ac:dyDescent="0.35">
      <c r="A8" s="3" t="s">
        <v>31</v>
      </c>
      <c r="B8" s="5">
        <v>42370.880000000005</v>
      </c>
    </row>
    <row r="9" spans="1:2" x14ac:dyDescent="0.35">
      <c r="A9" s="3" t="s">
        <v>44</v>
      </c>
      <c r="B9" s="5">
        <v>67180.5</v>
      </c>
    </row>
    <row r="10" spans="1:2" x14ac:dyDescent="0.35">
      <c r="A10" s="3" t="s">
        <v>94</v>
      </c>
      <c r="B10" s="5">
        <v>93858.329999999987</v>
      </c>
    </row>
    <row r="11" spans="1:2" x14ac:dyDescent="0.35">
      <c r="A11" s="3" t="s">
        <v>60</v>
      </c>
      <c r="B11" s="5">
        <v>104252.33999999997</v>
      </c>
    </row>
    <row r="12" spans="1:2" x14ac:dyDescent="0.35">
      <c r="A12" s="3" t="s">
        <v>169</v>
      </c>
      <c r="B12" s="5">
        <v>435066.15999999992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8"/>
  <sheetViews>
    <sheetView workbookViewId="0">
      <selection activeCell="B4" sqref="B4"/>
    </sheetView>
  </sheetViews>
  <sheetFormatPr defaultRowHeight="14.5" x14ac:dyDescent="0.35"/>
  <cols>
    <col min="1" max="1" width="12.36328125" customWidth="1"/>
    <col min="2" max="2" width="14.36328125" bestFit="1" customWidth="1"/>
  </cols>
  <sheetData>
    <row r="3" spans="1:2" x14ac:dyDescent="0.35">
      <c r="A3" s="2" t="s">
        <v>168</v>
      </c>
      <c r="B3" t="s">
        <v>167</v>
      </c>
    </row>
    <row r="4" spans="1:2" x14ac:dyDescent="0.35">
      <c r="A4" s="3" t="s">
        <v>32</v>
      </c>
      <c r="B4" s="4">
        <v>0.20974276647947063</v>
      </c>
    </row>
    <row r="5" spans="1:2" x14ac:dyDescent="0.35">
      <c r="A5" s="3" t="s">
        <v>95</v>
      </c>
      <c r="B5" s="4">
        <v>0.21573346453789927</v>
      </c>
    </row>
    <row r="6" spans="1:2" x14ac:dyDescent="0.35">
      <c r="A6" s="3" t="s">
        <v>45</v>
      </c>
      <c r="B6" s="4">
        <v>0.24887136705828836</v>
      </c>
    </row>
    <row r="7" spans="1:2" x14ac:dyDescent="0.35">
      <c r="A7" s="3" t="s">
        <v>61</v>
      </c>
      <c r="B7" s="4">
        <v>0.32565240192434181</v>
      </c>
    </row>
    <row r="8" spans="1:2" x14ac:dyDescent="0.35">
      <c r="A8" s="3" t="s">
        <v>169</v>
      </c>
      <c r="B8" s="4">
        <v>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9"/>
  <sheetViews>
    <sheetView workbookViewId="0">
      <selection activeCell="M5" sqref="M5"/>
    </sheetView>
  </sheetViews>
  <sheetFormatPr defaultRowHeight="14.5" x14ac:dyDescent="0.35"/>
  <cols>
    <col min="1" max="1" width="15.81640625" bestFit="1" customWidth="1"/>
    <col min="2" max="2" width="14.36328125" bestFit="1" customWidth="1"/>
  </cols>
  <sheetData>
    <row r="3" spans="1:2" x14ac:dyDescent="0.35">
      <c r="A3" s="2" t="s">
        <v>168</v>
      </c>
      <c r="B3" t="s">
        <v>167</v>
      </c>
    </row>
    <row r="4" spans="1:2" x14ac:dyDescent="0.35">
      <c r="A4" s="3" t="s">
        <v>37</v>
      </c>
      <c r="B4">
        <v>110577.10999999999</v>
      </c>
    </row>
    <row r="5" spans="1:2" x14ac:dyDescent="0.35">
      <c r="A5" s="3" t="s">
        <v>89</v>
      </c>
      <c r="B5">
        <v>69000</v>
      </c>
    </row>
    <row r="6" spans="1:2" x14ac:dyDescent="0.35">
      <c r="A6" s="3" t="s">
        <v>110</v>
      </c>
      <c r="B6">
        <v>51541</v>
      </c>
    </row>
    <row r="7" spans="1:2" x14ac:dyDescent="0.35">
      <c r="A7" s="3" t="s">
        <v>134</v>
      </c>
      <c r="B7">
        <v>33129.600000000006</v>
      </c>
    </row>
    <row r="8" spans="1:2" x14ac:dyDescent="0.35">
      <c r="A8" s="3" t="s">
        <v>39</v>
      </c>
      <c r="B8">
        <v>27999.5</v>
      </c>
    </row>
    <row r="9" spans="1:2" x14ac:dyDescent="0.35">
      <c r="A9" s="3" t="s">
        <v>169</v>
      </c>
      <c r="B9">
        <v>292247.20999999996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9"/>
  <sheetViews>
    <sheetView workbookViewId="0">
      <selection activeCell="O13" sqref="O13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2" t="s">
        <v>168</v>
      </c>
      <c r="B3" t="s">
        <v>167</v>
      </c>
    </row>
    <row r="4" spans="1:2" x14ac:dyDescent="0.35">
      <c r="A4" s="3" t="s">
        <v>99</v>
      </c>
      <c r="B4">
        <v>41095.01</v>
      </c>
    </row>
    <row r="5" spans="1:2" x14ac:dyDescent="0.35">
      <c r="A5" s="3" t="s">
        <v>92</v>
      </c>
      <c r="B5">
        <v>43713</v>
      </c>
    </row>
    <row r="6" spans="1:2" x14ac:dyDescent="0.35">
      <c r="A6" s="3" t="s">
        <v>115</v>
      </c>
      <c r="B6">
        <v>50145.330000000009</v>
      </c>
    </row>
    <row r="7" spans="1:2" x14ac:dyDescent="0.35">
      <c r="A7" s="3" t="s">
        <v>42</v>
      </c>
      <c r="B7">
        <v>67180.5</v>
      </c>
    </row>
    <row r="8" spans="1:2" x14ac:dyDescent="0.35">
      <c r="A8" s="3" t="s">
        <v>58</v>
      </c>
      <c r="B8">
        <v>50208.35</v>
      </c>
    </row>
    <row r="9" spans="1:2" x14ac:dyDescent="0.35">
      <c r="A9" s="3" t="s">
        <v>169</v>
      </c>
      <c r="B9">
        <v>252342.19000000003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B11"/>
  <sheetViews>
    <sheetView workbookViewId="0">
      <selection activeCell="C15" sqref="C15"/>
    </sheetView>
  </sheetViews>
  <sheetFormatPr defaultRowHeight="14.5" x14ac:dyDescent="0.35"/>
  <cols>
    <col min="1" max="1" width="12.36328125" bestFit="1" customWidth="1"/>
    <col min="2" max="2" width="15.81640625" bestFit="1" customWidth="1"/>
  </cols>
  <sheetData>
    <row r="3" spans="1:2" x14ac:dyDescent="0.35">
      <c r="A3" s="2" t="s">
        <v>168</v>
      </c>
      <c r="B3" t="s">
        <v>184</v>
      </c>
    </row>
    <row r="4" spans="1:2" x14ac:dyDescent="0.35">
      <c r="A4" s="3" t="s">
        <v>183</v>
      </c>
      <c r="B4">
        <v>218</v>
      </c>
    </row>
    <row r="5" spans="1:2" x14ac:dyDescent="0.35">
      <c r="A5" s="3" t="s">
        <v>185</v>
      </c>
      <c r="B5">
        <v>85</v>
      </c>
    </row>
    <row r="6" spans="1:2" x14ac:dyDescent="0.35">
      <c r="A6" s="3" t="s">
        <v>186</v>
      </c>
      <c r="B6">
        <v>31</v>
      </c>
    </row>
    <row r="7" spans="1:2" x14ac:dyDescent="0.35">
      <c r="A7" s="3" t="s">
        <v>187</v>
      </c>
      <c r="B7">
        <v>24</v>
      </c>
    </row>
    <row r="8" spans="1:2" x14ac:dyDescent="0.35">
      <c r="A8" s="3" t="s">
        <v>188</v>
      </c>
      <c r="B8">
        <v>8</v>
      </c>
    </row>
    <row r="9" spans="1:2" x14ac:dyDescent="0.35">
      <c r="A9" s="3" t="s">
        <v>189</v>
      </c>
      <c r="B9">
        <v>2</v>
      </c>
    </row>
    <row r="10" spans="1:2" x14ac:dyDescent="0.35">
      <c r="A10" s="3" t="s">
        <v>190</v>
      </c>
      <c r="B10">
        <v>1</v>
      </c>
    </row>
    <row r="11" spans="1:2" x14ac:dyDescent="0.35">
      <c r="A11" s="3" t="s">
        <v>169</v>
      </c>
      <c r="B11">
        <v>369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E20"/>
  <sheetViews>
    <sheetView topLeftCell="A2" workbookViewId="0">
      <selection activeCell="K20" sqref="K20"/>
    </sheetView>
  </sheetViews>
  <sheetFormatPr defaultRowHeight="14.5" x14ac:dyDescent="0.35"/>
  <cols>
    <col min="1" max="1" width="12.36328125" bestFit="1" customWidth="1"/>
    <col min="2" max="2" width="14.36328125" bestFit="1" customWidth="1"/>
    <col min="4" max="4" width="10.08984375" bestFit="1" customWidth="1"/>
    <col min="5" max="5" width="14.36328125" bestFit="1" customWidth="1"/>
  </cols>
  <sheetData>
    <row r="3" spans="1:5" x14ac:dyDescent="0.35">
      <c r="A3" s="2" t="s">
        <v>168</v>
      </c>
      <c r="B3" t="s">
        <v>167</v>
      </c>
    </row>
    <row r="4" spans="1:5" x14ac:dyDescent="0.35">
      <c r="A4" s="3" t="s">
        <v>29</v>
      </c>
      <c r="B4">
        <v>15365.5</v>
      </c>
    </row>
    <row r="5" spans="1:5" x14ac:dyDescent="0.35">
      <c r="A5" s="3" t="s">
        <v>69</v>
      </c>
      <c r="B5">
        <v>16350.5</v>
      </c>
    </row>
    <row r="6" spans="1:5" x14ac:dyDescent="0.35">
      <c r="A6" s="3" t="s">
        <v>107</v>
      </c>
      <c r="B6">
        <v>17204</v>
      </c>
    </row>
    <row r="7" spans="1:5" x14ac:dyDescent="0.35">
      <c r="A7" s="3" t="s">
        <v>77</v>
      </c>
      <c r="B7">
        <v>27005.38</v>
      </c>
    </row>
    <row r="8" spans="1:5" x14ac:dyDescent="0.35">
      <c r="A8" s="3" t="s">
        <v>128</v>
      </c>
      <c r="B8">
        <v>32530.6</v>
      </c>
      <c r="D8" s="1" t="s">
        <v>6</v>
      </c>
      <c r="E8" s="1" t="s">
        <v>167</v>
      </c>
    </row>
    <row r="9" spans="1:5" x14ac:dyDescent="0.35">
      <c r="A9" s="3" t="s">
        <v>121</v>
      </c>
      <c r="B9">
        <v>36839.990000000005</v>
      </c>
      <c r="D9" s="3" t="s">
        <v>29</v>
      </c>
      <c r="E9">
        <v>15365.5</v>
      </c>
    </row>
    <row r="10" spans="1:5" x14ac:dyDescent="0.35">
      <c r="A10" s="3" t="s">
        <v>85</v>
      </c>
      <c r="B10">
        <v>37428</v>
      </c>
      <c r="D10" s="3" t="s">
        <v>69</v>
      </c>
      <c r="E10">
        <v>16350.5</v>
      </c>
    </row>
    <row r="11" spans="1:5" x14ac:dyDescent="0.35">
      <c r="A11" s="3" t="s">
        <v>100</v>
      </c>
      <c r="B11">
        <v>41095.01</v>
      </c>
      <c r="D11" s="3" t="s">
        <v>107</v>
      </c>
      <c r="E11">
        <v>17204</v>
      </c>
    </row>
    <row r="12" spans="1:5" x14ac:dyDescent="0.35">
      <c r="A12" s="3" t="s">
        <v>93</v>
      </c>
      <c r="B12">
        <v>43713</v>
      </c>
      <c r="D12" s="3" t="s">
        <v>77</v>
      </c>
      <c r="E12">
        <v>27005.38</v>
      </c>
    </row>
    <row r="13" spans="1:5" x14ac:dyDescent="0.35">
      <c r="A13" s="3" t="s">
        <v>116</v>
      </c>
      <c r="B13">
        <v>50145.330000000009</v>
      </c>
      <c r="D13" s="3" t="s">
        <v>128</v>
      </c>
      <c r="E13">
        <v>32530.6</v>
      </c>
    </row>
    <row r="14" spans="1:5" x14ac:dyDescent="0.35">
      <c r="A14" s="3" t="s">
        <v>59</v>
      </c>
      <c r="B14">
        <v>50208.35</v>
      </c>
      <c r="D14" s="3" t="s">
        <v>121</v>
      </c>
      <c r="E14">
        <v>36839.990000000005</v>
      </c>
    </row>
    <row r="15" spans="1:5" x14ac:dyDescent="0.35">
      <c r="A15" s="3" t="s">
        <v>43</v>
      </c>
      <c r="B15">
        <v>67180.5</v>
      </c>
      <c r="D15" s="3" t="s">
        <v>85</v>
      </c>
      <c r="E15">
        <v>37428</v>
      </c>
    </row>
    <row r="16" spans="1:5" x14ac:dyDescent="0.35">
      <c r="A16" s="3" t="s">
        <v>169</v>
      </c>
      <c r="B16">
        <v>435066.16</v>
      </c>
      <c r="D16" s="3" t="s">
        <v>100</v>
      </c>
      <c r="E16">
        <v>41095.01</v>
      </c>
    </row>
    <row r="17" spans="4:5" x14ac:dyDescent="0.35">
      <c r="D17" s="3" t="s">
        <v>93</v>
      </c>
      <c r="E17">
        <v>43713</v>
      </c>
    </row>
    <row r="18" spans="4:5" x14ac:dyDescent="0.35">
      <c r="D18" s="3" t="s">
        <v>116</v>
      </c>
      <c r="E18">
        <v>50145.330000000009</v>
      </c>
    </row>
    <row r="19" spans="4:5" x14ac:dyDescent="0.35">
      <c r="D19" s="3" t="s">
        <v>59</v>
      </c>
      <c r="E19">
        <v>50208.35</v>
      </c>
    </row>
    <row r="20" spans="4:5" x14ac:dyDescent="0.35">
      <c r="D20" s="3" t="s">
        <v>43</v>
      </c>
      <c r="E20">
        <v>67180.5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C19"/>
  <sheetViews>
    <sheetView workbookViewId="0">
      <selection activeCell="K8" sqref="K8"/>
    </sheetView>
  </sheetViews>
  <sheetFormatPr defaultRowHeight="14.5" x14ac:dyDescent="0.35"/>
  <cols>
    <col min="1" max="1" width="12.36328125" bestFit="1" customWidth="1"/>
    <col min="2" max="2" width="14.36328125" bestFit="1" customWidth="1"/>
    <col min="14" max="14" width="11.36328125" bestFit="1" customWidth="1"/>
  </cols>
  <sheetData>
    <row r="3" spans="1:2" x14ac:dyDescent="0.35">
      <c r="A3" s="2" t="s">
        <v>168</v>
      </c>
      <c r="B3" t="s">
        <v>167</v>
      </c>
    </row>
    <row r="4" spans="1:2" x14ac:dyDescent="0.35">
      <c r="A4" s="3" t="s">
        <v>113</v>
      </c>
      <c r="B4">
        <v>21937.08</v>
      </c>
    </row>
    <row r="5" spans="1:2" x14ac:dyDescent="0.35">
      <c r="A5" s="3" t="s">
        <v>74</v>
      </c>
      <c r="B5">
        <v>27005.38</v>
      </c>
    </row>
    <row r="6" spans="1:2" x14ac:dyDescent="0.35">
      <c r="A6" s="3" t="s">
        <v>140</v>
      </c>
      <c r="B6">
        <v>28208.250000000007</v>
      </c>
    </row>
    <row r="7" spans="1:2" x14ac:dyDescent="0.35">
      <c r="A7" s="3" t="s">
        <v>97</v>
      </c>
      <c r="B7">
        <v>29133.009999999995</v>
      </c>
    </row>
    <row r="8" spans="1:2" x14ac:dyDescent="0.35">
      <c r="A8" s="3" t="s">
        <v>125</v>
      </c>
      <c r="B8">
        <v>32530.6</v>
      </c>
    </row>
    <row r="9" spans="1:2" x14ac:dyDescent="0.35">
      <c r="A9" s="3" t="s">
        <v>118</v>
      </c>
      <c r="B9">
        <v>36839.990000000005</v>
      </c>
    </row>
    <row r="10" spans="1:2" x14ac:dyDescent="0.35">
      <c r="A10" s="3" t="s">
        <v>82</v>
      </c>
      <c r="B10">
        <v>37428</v>
      </c>
    </row>
    <row r="11" spans="1:2" x14ac:dyDescent="0.35">
      <c r="A11" s="3" t="s">
        <v>90</v>
      </c>
      <c r="B11">
        <v>43713</v>
      </c>
    </row>
    <row r="12" spans="1:2" x14ac:dyDescent="0.35">
      <c r="A12" s="3" t="s">
        <v>56</v>
      </c>
      <c r="B12">
        <v>50208.35</v>
      </c>
    </row>
    <row r="13" spans="1:2" x14ac:dyDescent="0.35">
      <c r="A13" s="3" t="s">
        <v>40</v>
      </c>
      <c r="B13">
        <v>67180.5</v>
      </c>
    </row>
    <row r="14" spans="1:2" x14ac:dyDescent="0.35">
      <c r="A14" s="3" t="s">
        <v>169</v>
      </c>
      <c r="B14">
        <v>374184.16</v>
      </c>
    </row>
    <row r="19" spans="3:3" x14ac:dyDescent="0.35">
      <c r="C19">
        <v>374184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E10"/>
  <sheetViews>
    <sheetView workbookViewId="0">
      <selection activeCell="L3" sqref="L3"/>
    </sheetView>
  </sheetViews>
  <sheetFormatPr defaultRowHeight="14.5" x14ac:dyDescent="0.35"/>
  <cols>
    <col min="1" max="1" width="12.36328125" bestFit="1" customWidth="1"/>
    <col min="2" max="2" width="14.36328125" bestFit="1" customWidth="1"/>
    <col min="4" max="4" width="10.08984375" bestFit="1" customWidth="1"/>
    <col min="5" max="5" width="14.36328125" bestFit="1" customWidth="1"/>
  </cols>
  <sheetData>
    <row r="3" spans="1:5" x14ac:dyDescent="0.35">
      <c r="A3" s="2" t="s">
        <v>168</v>
      </c>
      <c r="B3" t="s">
        <v>167</v>
      </c>
      <c r="D3" t="s">
        <v>5</v>
      </c>
      <c r="E3" t="s">
        <v>167</v>
      </c>
    </row>
    <row r="4" spans="1:5" x14ac:dyDescent="0.35">
      <c r="A4" s="3" t="s">
        <v>84</v>
      </c>
      <c r="B4">
        <v>37428</v>
      </c>
      <c r="D4" t="s">
        <v>42</v>
      </c>
      <c r="E4">
        <v>67180.5</v>
      </c>
    </row>
    <row r="5" spans="1:5" x14ac:dyDescent="0.35">
      <c r="A5" s="3" t="s">
        <v>99</v>
      </c>
      <c r="B5">
        <v>41095.01</v>
      </c>
      <c r="D5" t="s">
        <v>58</v>
      </c>
      <c r="E5">
        <v>50208.35</v>
      </c>
    </row>
    <row r="6" spans="1:5" x14ac:dyDescent="0.35">
      <c r="A6" s="3" t="s">
        <v>92</v>
      </c>
      <c r="B6">
        <v>43713</v>
      </c>
      <c r="D6" t="s">
        <v>115</v>
      </c>
      <c r="E6">
        <v>50145.330000000009</v>
      </c>
    </row>
    <row r="7" spans="1:5" x14ac:dyDescent="0.35">
      <c r="A7" s="3" t="s">
        <v>115</v>
      </c>
      <c r="B7">
        <v>50145.330000000009</v>
      </c>
      <c r="D7" t="s">
        <v>92</v>
      </c>
      <c r="E7">
        <v>43713</v>
      </c>
    </row>
    <row r="8" spans="1:5" x14ac:dyDescent="0.35">
      <c r="A8" s="3" t="s">
        <v>58</v>
      </c>
      <c r="B8">
        <v>50208.35</v>
      </c>
      <c r="D8" t="s">
        <v>99</v>
      </c>
      <c r="E8">
        <v>41095.01</v>
      </c>
    </row>
    <row r="9" spans="1:5" x14ac:dyDescent="0.35">
      <c r="A9" s="3" t="s">
        <v>42</v>
      </c>
      <c r="B9">
        <v>67180.5</v>
      </c>
      <c r="D9" t="s">
        <v>84</v>
      </c>
      <c r="E9">
        <v>37428</v>
      </c>
    </row>
    <row r="10" spans="1:5" x14ac:dyDescent="0.35">
      <c r="A10" s="3" t="s">
        <v>169</v>
      </c>
      <c r="B10">
        <v>289770.19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F233-0C16-49B3-8A1C-8451F59351EA}">
  <dimension ref="A3:B7"/>
  <sheetViews>
    <sheetView workbookViewId="0">
      <selection activeCell="M7" sqref="M7"/>
    </sheetView>
  </sheetViews>
  <sheetFormatPr defaultRowHeight="14.5" x14ac:dyDescent="0.35"/>
  <cols>
    <col min="1" max="1" width="12.36328125" bestFit="1" customWidth="1"/>
    <col min="2" max="2" width="20.6328125" bestFit="1" customWidth="1"/>
  </cols>
  <sheetData>
    <row r="3" spans="1:2" x14ac:dyDescent="0.35">
      <c r="A3" s="2" t="s">
        <v>168</v>
      </c>
      <c r="B3" t="s">
        <v>192</v>
      </c>
    </row>
    <row r="4" spans="1:2" x14ac:dyDescent="0.35">
      <c r="A4" s="3" t="s">
        <v>48</v>
      </c>
      <c r="B4">
        <v>132</v>
      </c>
    </row>
    <row r="5" spans="1:2" x14ac:dyDescent="0.35">
      <c r="A5" s="3" t="s">
        <v>35</v>
      </c>
      <c r="B5">
        <v>101</v>
      </c>
    </row>
    <row r="6" spans="1:2" x14ac:dyDescent="0.35">
      <c r="A6" s="3" t="s">
        <v>79</v>
      </c>
      <c r="B6">
        <v>34</v>
      </c>
    </row>
    <row r="7" spans="1:2" x14ac:dyDescent="0.35">
      <c r="A7" s="3" t="s">
        <v>169</v>
      </c>
      <c r="B7">
        <v>267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showGridLines="0" tabSelected="1" zoomScale="60" zoomScaleNormal="60" workbookViewId="0">
      <selection activeCell="AC18" sqref="AC18"/>
    </sheetView>
  </sheetViews>
  <sheetFormatPr defaultRowHeight="14.5" x14ac:dyDescent="0.35"/>
  <sheetData/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topLeftCell="A32" zoomScaleNormal="100" workbookViewId="0">
      <selection activeCell="R42" sqref="R4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4"/>
  <dimension ref="B19:C20"/>
  <sheetViews>
    <sheetView showGridLines="0" workbookViewId="0">
      <selection activeCell="M29" sqref="M29"/>
    </sheetView>
  </sheetViews>
  <sheetFormatPr defaultRowHeight="14.5" x14ac:dyDescent="0.35"/>
  <sheetData>
    <row r="19" spans="2:3" x14ac:dyDescent="0.35">
      <c r="B19" t="s">
        <v>153</v>
      </c>
      <c r="C19" t="s">
        <v>154</v>
      </c>
    </row>
    <row r="20" spans="2:3" x14ac:dyDescent="0.35">
      <c r="B20" t="s">
        <v>152</v>
      </c>
      <c r="C20" t="s">
        <v>155</v>
      </c>
    </row>
  </sheetData>
  <hyperlinks>
    <hyperlink ref="C20" r:id="rId1" xr:uid="{00000000-0004-0000-0F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Task</vt:lpstr>
      <vt:lpstr>Before</vt:lpstr>
      <vt:lpstr>After</vt:lpstr>
      <vt:lpstr>Pre Analysis Board</vt:lpstr>
      <vt:lpstr>In Analysis Board</vt:lpstr>
      <vt:lpstr>Sales trend report</vt:lpstr>
      <vt:lpstr>Sales by Rep</vt:lpstr>
      <vt:lpstr>Sales by Region</vt:lpstr>
      <vt:lpstr>Sales by product categories</vt:lpstr>
      <vt:lpstr>Top 5 cities by revenue</vt:lpstr>
      <vt:lpstr>Transaction by amount</vt:lpstr>
      <vt:lpstr>State Performance</vt:lpstr>
      <vt:lpstr>Top 10 customers</vt:lpstr>
      <vt:lpstr>Top 6 Ship cities by revenue</vt:lpstr>
      <vt:lpstr>Most used payment method</vt:lpstr>
      <vt:lpstr>Dash Board</vt:lpstr>
      <vt:lpstr>Post analysis </vt:lpstr>
      <vt:lpstr>Pivot Table Diagram</vt:lpstr>
    </vt:vector>
  </TitlesOfParts>
  <Company>Excel Campus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</dc:creator>
  <cp:lastModifiedBy>victoradesami@yahoo.com</cp:lastModifiedBy>
  <dcterms:created xsi:type="dcterms:W3CDTF">2015-01-21T18:43:03Z</dcterms:created>
  <dcterms:modified xsi:type="dcterms:W3CDTF">2026-04-02T13:14:11Z</dcterms:modified>
</cp:coreProperties>
</file>